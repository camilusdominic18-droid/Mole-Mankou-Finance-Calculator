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CAMILUS K DOMINIC\Documents\molefinance.com-pg\Mole Finance Database\"/>
    </mc:Choice>
  </mc:AlternateContent>
  <xr:revisionPtr revIDLastSave="0" documentId="13_ncr:1_{CECC030F-89F2-4C7E-A67A-AE11D52D07CA}" xr6:coauthVersionLast="47" xr6:coauthVersionMax="47" xr10:uidLastSave="{00000000-0000-0000-0000-000000000000}"/>
  <bookViews>
    <workbookView xWindow="-120" yWindow="-120" windowWidth="20730" windowHeight="11040" firstSheet="6" activeTab="7" xr2:uid="{00000000-000D-0000-FFFF-FFFF00000000}"/>
  </bookViews>
  <sheets>
    <sheet name="Company_Profile" sheetId="1" r:id="rId1"/>
    <sheet name="CLIENT_MASTER" sheetId="2" r:id="rId2"/>
    <sheet name="LOAN_APPLICATION" sheetId="3" r:id="rId3"/>
    <sheet name="REPAYMENT_SCHEDULE" sheetId="4" r:id="rId4"/>
    <sheet name="RISK_AND_COLLECTION" sheetId="5" r:id="rId5"/>
    <sheet name="LOAN_CALCULATOR" sheetId="6" r:id="rId6"/>
    <sheet name="SUMMARYCLIENT" sheetId="8" r:id="rId7"/>
    <sheet name="CLIENT_LOAN_HISTORY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9" l="1" a="1"/>
  <c r="A10" i="9" a="1"/>
  <c r="A9" i="9" a="1"/>
  <c r="A8" i="9" a="1"/>
  <c r="A7" i="9" a="1"/>
  <c r="A6" i="9" a="1"/>
  <c r="A5" i="9" a="1"/>
  <c r="A4" i="9" a="1"/>
  <c r="A3" i="9" a="1"/>
  <c r="A2" i="9" a="1"/>
  <c r="S11" i="8"/>
  <c r="R11" i="8"/>
  <c r="Q11" i="8"/>
  <c r="P11" i="8"/>
  <c r="N11" i="8"/>
  <c r="M11" i="8"/>
  <c r="L11" i="8"/>
  <c r="K11" i="8"/>
  <c r="J11" i="8"/>
  <c r="I11" i="8"/>
  <c r="H11" i="8"/>
  <c r="G11" i="8"/>
  <c r="F11" i="8"/>
  <c r="E11" i="8"/>
  <c r="D11" i="8"/>
  <c r="S10" i="8"/>
  <c r="R10" i="8"/>
  <c r="Q10" i="8"/>
  <c r="P10" i="8"/>
  <c r="N10" i="8"/>
  <c r="M10" i="8"/>
  <c r="L10" i="8"/>
  <c r="K10" i="8"/>
  <c r="J10" i="8"/>
  <c r="I10" i="8"/>
  <c r="H10" i="8"/>
  <c r="G10" i="8"/>
  <c r="F10" i="8"/>
  <c r="E10" i="8"/>
  <c r="D10" i="8"/>
  <c r="S9" i="8"/>
  <c r="R9" i="8"/>
  <c r="Q9" i="8"/>
  <c r="P9" i="8"/>
  <c r="N9" i="8"/>
  <c r="M9" i="8"/>
  <c r="L9" i="8"/>
  <c r="K9" i="8"/>
  <c r="J9" i="8"/>
  <c r="I9" i="8"/>
  <c r="H9" i="8"/>
  <c r="G9" i="8"/>
  <c r="F9" i="8"/>
  <c r="E9" i="8"/>
  <c r="D9" i="8"/>
  <c r="S8" i="8"/>
  <c r="R8" i="8"/>
  <c r="Q8" i="8"/>
  <c r="P8" i="8"/>
  <c r="N8" i="8"/>
  <c r="M8" i="8"/>
  <c r="L8" i="8"/>
  <c r="K8" i="8"/>
  <c r="J8" i="8"/>
  <c r="I8" i="8"/>
  <c r="H8" i="8"/>
  <c r="G8" i="8"/>
  <c r="F8" i="8"/>
  <c r="E8" i="8"/>
  <c r="D8" i="8"/>
  <c r="S7" i="8"/>
  <c r="R7" i="8"/>
  <c r="Q7" i="8"/>
  <c r="P7" i="8"/>
  <c r="N7" i="8"/>
  <c r="M7" i="8"/>
  <c r="L7" i="8"/>
  <c r="K7" i="8"/>
  <c r="J7" i="8"/>
  <c r="I7" i="8"/>
  <c r="H7" i="8"/>
  <c r="G7" i="8"/>
  <c r="F7" i="8"/>
  <c r="E7" i="8"/>
  <c r="D7" i="8"/>
  <c r="S6" i="8"/>
  <c r="R6" i="8"/>
  <c r="Q6" i="8"/>
  <c r="P6" i="8"/>
  <c r="N6" i="8"/>
  <c r="M6" i="8"/>
  <c r="L6" i="8"/>
  <c r="K6" i="8"/>
  <c r="J6" i="8"/>
  <c r="I6" i="8"/>
  <c r="H6" i="8"/>
  <c r="G6" i="8"/>
  <c r="F6" i="8"/>
  <c r="E6" i="8"/>
  <c r="D6" i="8"/>
  <c r="S5" i="8"/>
  <c r="R5" i="8"/>
  <c r="Q5" i="8"/>
  <c r="P5" i="8"/>
  <c r="N5" i="8"/>
  <c r="M5" i="8"/>
  <c r="L5" i="8"/>
  <c r="K5" i="8"/>
  <c r="J5" i="8"/>
  <c r="I5" i="8"/>
  <c r="H5" i="8"/>
  <c r="G5" i="8"/>
  <c r="F5" i="8"/>
  <c r="E5" i="8"/>
  <c r="D5" i="8"/>
  <c r="S4" i="8"/>
  <c r="R4" i="8"/>
  <c r="Q4" i="8"/>
  <c r="P4" i="8"/>
  <c r="N4" i="8"/>
  <c r="M4" i="8"/>
  <c r="L4" i="8"/>
  <c r="K4" i="8"/>
  <c r="J4" i="8"/>
  <c r="I4" i="8"/>
  <c r="H4" i="8"/>
  <c r="G4" i="8"/>
  <c r="F4" i="8"/>
  <c r="E4" i="8"/>
  <c r="D4" i="8"/>
  <c r="R3" i="8"/>
  <c r="Q3" i="8"/>
  <c r="P3" i="8"/>
  <c r="N3" i="8"/>
  <c r="M3" i="8"/>
  <c r="L3" i="8"/>
  <c r="K3" i="8"/>
  <c r="J3" i="8"/>
  <c r="I3" i="8"/>
  <c r="H3" i="8"/>
  <c r="G3" i="8"/>
  <c r="F3" i="8"/>
  <c r="E3" i="8"/>
  <c r="D3" i="8"/>
  <c r="S2" i="8"/>
  <c r="S3" i="8" s="1"/>
  <c r="R2" i="8"/>
  <c r="Q2" i="8"/>
  <c r="P2" i="8"/>
  <c r="N2" i="8"/>
  <c r="M2" i="8"/>
  <c r="L2" i="8"/>
  <c r="K2" i="8"/>
  <c r="J2" i="8"/>
  <c r="I2" i="8"/>
  <c r="H2" i="8"/>
  <c r="G2" i="8"/>
  <c r="F2" i="8"/>
  <c r="E2" i="8"/>
  <c r="D2" i="8"/>
  <c r="P2" i="3"/>
  <c r="O2" i="3"/>
  <c r="B11" i="9" l="1"/>
  <c r="E11" i="9"/>
  <c r="F11" i="9"/>
  <c r="G11" i="9" s="1"/>
  <c r="D11" i="9"/>
  <c r="C11" i="9"/>
  <c r="B10" i="9"/>
  <c r="D10" i="9"/>
  <c r="E10" i="9"/>
  <c r="F10" i="9"/>
  <c r="G10" i="9" s="1"/>
  <c r="C10" i="9"/>
  <c r="B9" i="9"/>
  <c r="E9" i="9"/>
  <c r="F9" i="9"/>
  <c r="G9" i="9" s="1"/>
  <c r="D9" i="9"/>
  <c r="C9" i="9"/>
  <c r="B8" i="9"/>
  <c r="E8" i="9"/>
  <c r="F8" i="9"/>
  <c r="G8" i="9" s="1"/>
  <c r="D8" i="9"/>
  <c r="C8" i="9"/>
  <c r="B7" i="9"/>
  <c r="E7" i="9"/>
  <c r="F7" i="9"/>
  <c r="G7" i="9" s="1"/>
  <c r="D7" i="9"/>
  <c r="C7" i="9"/>
  <c r="B6" i="9"/>
  <c r="E6" i="9"/>
  <c r="F6" i="9"/>
  <c r="G6" i="9" s="1"/>
  <c r="D6" i="9"/>
  <c r="C6" i="9"/>
  <c r="B5" i="9"/>
  <c r="E5" i="9"/>
  <c r="F5" i="9"/>
  <c r="G5" i="9" s="1"/>
  <c r="D5" i="9"/>
  <c r="C5" i="9"/>
  <c r="B4" i="9"/>
  <c r="E4" i="9"/>
  <c r="F4" i="9"/>
  <c r="G4" i="9" s="1"/>
  <c r="D4" i="9"/>
  <c r="C4" i="9"/>
  <c r="B3" i="9"/>
  <c r="D3" i="9"/>
  <c r="E3" i="9"/>
  <c r="F3" i="9"/>
  <c r="G3" i="9" s="1"/>
  <c r="C3" i="9"/>
  <c r="D2" i="9"/>
  <c r="F2" i="9"/>
  <c r="G2" i="9" s="1"/>
  <c r="C2" i="9"/>
  <c r="E2" i="9"/>
  <c r="B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<sst xmlns="http://schemas.openxmlformats.org/spreadsheetml/2006/main" count="605" uniqueCount="297">
  <si>
    <t>Column1</t>
  </si>
  <si>
    <t>Column2</t>
  </si>
  <si>
    <t>Column3</t>
  </si>
  <si>
    <t>Column4</t>
  </si>
  <si>
    <t>Company Name</t>
  </si>
  <si>
    <t>MOLE MINI-FINANCE</t>
  </si>
  <si>
    <t>2026/PNG/FIN/001</t>
  </si>
  <si>
    <t>Business Type</t>
  </si>
  <si>
    <t>Address</t>
  </si>
  <si>
    <t>VANIMO, Sandaun Province, Papua New Guinea</t>
  </si>
  <si>
    <t>Contact Email</t>
  </si>
  <si>
    <t>info@molefinance.pg</t>
  </si>
  <si>
    <t>Phone</t>
  </si>
  <si>
    <t>+675 7172 0062 / +675 8249 3350</t>
  </si>
  <si>
    <t>Website</t>
  </si>
  <si>
    <t>mole-finance.com/pg</t>
  </si>
  <si>
    <t>Mission Statement</t>
  </si>
  <si>
    <t>Vision</t>
  </si>
  <si>
    <t>CLIENT NO</t>
  </si>
  <si>
    <t>FULL NAME</t>
  </si>
  <si>
    <t>SEX</t>
  </si>
  <si>
    <t>DATE OF BIRTH</t>
  </si>
  <si>
    <t>PHONE</t>
  </si>
  <si>
    <t>PLACE OF RESIDENCE</t>
  </si>
  <si>
    <t>EMAIL ADDRESS</t>
  </si>
  <si>
    <t>RELATIONSHIP</t>
  </si>
  <si>
    <t>EMPLOYMENT SECTOR</t>
  </si>
  <si>
    <t>EMPLOYER NAME</t>
  </si>
  <si>
    <t>JOB TITLE</t>
  </si>
  <si>
    <t>SALARY DEDUCTION FREQUENCY</t>
  </si>
  <si>
    <t>PAYROLL DEDUCTION AVAILABLE</t>
  </si>
  <si>
    <t>BANK ACCOUNT CONFIRMED</t>
  </si>
  <si>
    <t>KYC NOTES</t>
  </si>
  <si>
    <t>NEXT OF KIN PHONE NO</t>
  </si>
  <si>
    <t>CL-0001</t>
  </si>
  <si>
    <t>Camilus Dominic</t>
  </si>
  <si>
    <t>M</t>
  </si>
  <si>
    <t>701765546</t>
  </si>
  <si>
    <t>Yawa P/S</t>
  </si>
  <si>
    <t>camilusdominic18@gmail.com</t>
  </si>
  <si>
    <t>Linda Dominic</t>
  </si>
  <si>
    <t>Spouse</t>
  </si>
  <si>
    <t>Public</t>
  </si>
  <si>
    <t>Education</t>
  </si>
  <si>
    <t>Teacher</t>
  </si>
  <si>
    <t>Fortnightly</t>
  </si>
  <si>
    <t>Y</t>
  </si>
  <si>
    <t>Verified</t>
  </si>
  <si>
    <t>CL-0002</t>
  </si>
  <si>
    <t>Ricky Jolgai</t>
  </si>
  <si>
    <t>702284584</t>
  </si>
  <si>
    <t>Simby Jolgai</t>
  </si>
  <si>
    <t>CL-0003</t>
  </si>
  <si>
    <t>Simeon Kaipo</t>
  </si>
  <si>
    <t>702159698</t>
  </si>
  <si>
    <t>Callyn Kaipo</t>
  </si>
  <si>
    <t>CL-0004</t>
  </si>
  <si>
    <t>Josek Yuwal</t>
  </si>
  <si>
    <t>702242043</t>
  </si>
  <si>
    <t>Jean Yuwal</t>
  </si>
  <si>
    <t>CL-0005</t>
  </si>
  <si>
    <t>Bob Waiyoi</t>
  </si>
  <si>
    <t>704586745</t>
  </si>
  <si>
    <t>Jane Waiyoi</t>
  </si>
  <si>
    <t>CL-0006</t>
  </si>
  <si>
    <t>Rayleen Edai</t>
  </si>
  <si>
    <t>F</t>
  </si>
  <si>
    <t>706113372</t>
  </si>
  <si>
    <t>Teiri P/S</t>
  </si>
  <si>
    <t>Nelson Melu</t>
  </si>
  <si>
    <t>CL-0007</t>
  </si>
  <si>
    <t>Ruth Nali</t>
  </si>
  <si>
    <t>702570236</t>
  </si>
  <si>
    <t>James nali</t>
  </si>
  <si>
    <t>CL-0008</t>
  </si>
  <si>
    <t>Peter Fango</t>
  </si>
  <si>
    <t>705070560</t>
  </si>
  <si>
    <t>Rose Fango</t>
  </si>
  <si>
    <t>CL-0009</t>
  </si>
  <si>
    <t>Lucy Pita</t>
  </si>
  <si>
    <t>706594212</t>
  </si>
  <si>
    <t>Harry Pita</t>
  </si>
  <si>
    <t>CL-0010</t>
  </si>
  <si>
    <t>Gibson Melu</t>
  </si>
  <si>
    <t>Sebby Melu</t>
  </si>
  <si>
    <t>Father</t>
  </si>
  <si>
    <t>Loan App No</t>
  </si>
  <si>
    <t>Client No</t>
  </si>
  <si>
    <t>Loan Type</t>
  </si>
  <si>
    <t>Amount Requested</t>
  </si>
  <si>
    <t>Purpose Details</t>
  </si>
  <si>
    <t>Application Date</t>
  </si>
  <si>
    <t>Documents Received</t>
  </si>
  <si>
    <t>Verification Status</t>
  </si>
  <si>
    <t>Approval Status</t>
  </si>
  <si>
    <t>Approved Amount</t>
  </si>
  <si>
    <t>Approved Date</t>
  </si>
  <si>
    <t>Disbursement Date</t>
  </si>
  <si>
    <t>Interest Rate</t>
  </si>
  <si>
    <t>Repayment Period (Paydays)</t>
  </si>
  <si>
    <t>Total Repayment</t>
  </si>
  <si>
    <t>Installment Amount</t>
  </si>
  <si>
    <t>Repayment Start Date</t>
  </si>
  <si>
    <t>Officer/Approver</t>
  </si>
  <si>
    <t>Notes</t>
  </si>
  <si>
    <t>LN-0001</t>
  </si>
  <si>
    <t>Salary Advance</t>
  </si>
  <si>
    <t>Emergency Expense</t>
  </si>
  <si>
    <t>Approved</t>
  </si>
  <si>
    <t>LN-0002</t>
  </si>
  <si>
    <t>Personal</t>
  </si>
  <si>
    <t>Admin</t>
  </si>
  <si>
    <t/>
  </si>
  <si>
    <t>LN-0003</t>
  </si>
  <si>
    <t>LN-0004</t>
  </si>
  <si>
    <t>LN-0005</t>
  </si>
  <si>
    <t>LN-0006</t>
  </si>
  <si>
    <t>LN-0007</t>
  </si>
  <si>
    <t>LN-0008</t>
  </si>
  <si>
    <t>LN-0009</t>
  </si>
  <si>
    <t>LN-0010</t>
  </si>
  <si>
    <t>y</t>
  </si>
  <si>
    <t>Repayment ID</t>
  </si>
  <si>
    <t>Due Date</t>
  </si>
  <si>
    <t>Due Amount</t>
  </si>
  <si>
    <t>Paid Amount</t>
  </si>
  <si>
    <t>Payment Method</t>
  </si>
  <si>
    <t>Payment Date</t>
  </si>
  <si>
    <t>Status</t>
  </si>
  <si>
    <t>Late fees/ Interest</t>
  </si>
  <si>
    <t>RP-0001-4</t>
  </si>
  <si>
    <t>Pending</t>
  </si>
  <si>
    <t>RP-0002-1</t>
  </si>
  <si>
    <t>Paid</t>
  </si>
  <si>
    <t>RP-0003-1</t>
  </si>
  <si>
    <t>RP-0004-3</t>
  </si>
  <si>
    <t>RP-0005-2</t>
  </si>
  <si>
    <t>RP-0006-2</t>
  </si>
  <si>
    <t>RP-0007-4</t>
  </si>
  <si>
    <t>RP-0008-3</t>
  </si>
  <si>
    <t>RP-0009-1</t>
  </si>
  <si>
    <t>RP-0010-1</t>
  </si>
  <si>
    <t>Column5</t>
  </si>
  <si>
    <t>Loan_ID</t>
  </si>
  <si>
    <t>Risk_Level</t>
  </si>
  <si>
    <t>Collection_Action</t>
  </si>
  <si>
    <t xml:space="preserve">      Comments</t>
  </si>
  <si>
    <t>L001</t>
  </si>
  <si>
    <t>Low</t>
  </si>
  <si>
    <t>Reminder SMS</t>
  </si>
  <si>
    <t>Client pays regularly</t>
  </si>
  <si>
    <t>L002</t>
  </si>
  <si>
    <t>Medium</t>
  </si>
  <si>
    <t>Phone Call</t>
  </si>
  <si>
    <t>Payment overdue</t>
  </si>
  <si>
    <t>L003</t>
  </si>
  <si>
    <t>High</t>
  </si>
  <si>
    <t>Legal Notice</t>
  </si>
  <si>
    <t>Loan declined</t>
  </si>
  <si>
    <t xml:space="preserve"> risky</t>
  </si>
  <si>
    <t>L004</t>
  </si>
  <si>
    <t>Small loan</t>
  </si>
  <si>
    <t xml:space="preserve"> client cooperative</t>
  </si>
  <si>
    <t>L005</t>
  </si>
  <si>
    <t>Email Reminder</t>
  </si>
  <si>
    <t>Client consistent with payments</t>
  </si>
  <si>
    <t>L006</t>
  </si>
  <si>
    <t>Pending approval</t>
  </si>
  <si>
    <t xml:space="preserve"> needs follow-up</t>
  </si>
  <si>
    <t>L007</t>
  </si>
  <si>
    <t>Declined loan</t>
  </si>
  <si>
    <t xml:space="preserve"> high risk</t>
  </si>
  <si>
    <t>L008</t>
  </si>
  <si>
    <t>Quick repayment expected</t>
  </si>
  <si>
    <t>L009</t>
  </si>
  <si>
    <t>Payment delayed</t>
  </si>
  <si>
    <t>L010</t>
  </si>
  <si>
    <t>Client reliable</t>
  </si>
  <si>
    <t>Loan Amount</t>
  </si>
  <si>
    <t>Paydays/Forthnights</t>
  </si>
  <si>
    <t>Forthnightly Payment</t>
  </si>
  <si>
    <t>K100</t>
  </si>
  <si>
    <t>K20</t>
  </si>
  <si>
    <t>K120</t>
  </si>
  <si>
    <t>K200</t>
  </si>
  <si>
    <t>K40</t>
  </si>
  <si>
    <t>K240</t>
  </si>
  <si>
    <t>K300</t>
  </si>
  <si>
    <t>K60</t>
  </si>
  <si>
    <t>K360</t>
  </si>
  <si>
    <t>K90</t>
  </si>
  <si>
    <t>K390</t>
  </si>
  <si>
    <t>K420</t>
  </si>
  <si>
    <t>K150</t>
  </si>
  <si>
    <t>K450</t>
  </si>
  <si>
    <t>K400</t>
  </si>
  <si>
    <t>K80</t>
  </si>
  <si>
    <t>K480</t>
  </si>
  <si>
    <t>K160</t>
  </si>
  <si>
    <t>K560</t>
  </si>
  <si>
    <t>K600</t>
  </si>
  <si>
    <t>K720</t>
  </si>
  <si>
    <t>K180</t>
  </si>
  <si>
    <t>K780</t>
  </si>
  <si>
    <t>K840</t>
  </si>
  <si>
    <t>K900</t>
  </si>
  <si>
    <t>K700</t>
  </si>
  <si>
    <t>K210</t>
  </si>
  <si>
    <t>K910</t>
  </si>
  <si>
    <t>K280</t>
  </si>
  <si>
    <t>K980</t>
  </si>
  <si>
    <t>K350</t>
  </si>
  <si>
    <t>K1050</t>
  </si>
  <si>
    <t>K800</t>
  </si>
  <si>
    <t>K1040</t>
  </si>
  <si>
    <t>K320</t>
  </si>
  <si>
    <t>K1120</t>
  </si>
  <si>
    <t>K1200</t>
  </si>
  <si>
    <t>K270</t>
  </si>
  <si>
    <t>K1170</t>
  </si>
  <si>
    <t>K1260</t>
  </si>
  <si>
    <t>K1350</t>
  </si>
  <si>
    <t>K1000</t>
  </si>
  <si>
    <t>K1300</t>
  </si>
  <si>
    <t>K1400</t>
  </si>
  <si>
    <t>K500</t>
  </si>
  <si>
    <t>K1500</t>
  </si>
  <si>
    <t>K1100</t>
  </si>
  <si>
    <t>K110</t>
  </si>
  <si>
    <t>K1430</t>
  </si>
  <si>
    <t>K1560</t>
  </si>
  <si>
    <t>K130</t>
  </si>
  <si>
    <t>K1690</t>
  </si>
  <si>
    <t>K140</t>
  </si>
  <si>
    <t>K1820</t>
  </si>
  <si>
    <t>K1950</t>
  </si>
  <si>
    <t>K1600</t>
  </si>
  <si>
    <t>K2080</t>
  </si>
  <si>
    <t>K1700</t>
  </si>
  <si>
    <t>K170</t>
  </si>
  <si>
    <t>K2210</t>
  </si>
  <si>
    <t>K1800</t>
  </si>
  <si>
    <t>K2340</t>
  </si>
  <si>
    <t>K1900</t>
  </si>
  <si>
    <t>K190</t>
  </si>
  <si>
    <t>K2470</t>
  </si>
  <si>
    <t>K2000</t>
  </si>
  <si>
    <t>K2600</t>
  </si>
  <si>
    <t>K2100</t>
  </si>
  <si>
    <t>K275</t>
  </si>
  <si>
    <t>K1375</t>
  </si>
  <si>
    <t>K2200</t>
  </si>
  <si>
    <t>K2300</t>
  </si>
  <si>
    <t>K325</t>
  </si>
  <si>
    <t>K1625</t>
  </si>
  <si>
    <t>K2400</t>
  </si>
  <si>
    <t>K1750</t>
  </si>
  <si>
    <t>K2500</t>
  </si>
  <si>
    <t>K375</t>
  </si>
  <si>
    <t>K1875</t>
  </si>
  <si>
    <t>K2700</t>
  </si>
  <si>
    <t>K425</t>
  </si>
  <si>
    <t>K2125</t>
  </si>
  <si>
    <t>K2800</t>
  </si>
  <si>
    <t>K2250</t>
  </si>
  <si>
    <t>K2900</t>
  </si>
  <si>
    <t>K475</t>
  </si>
  <si>
    <t>K2375</t>
  </si>
  <si>
    <t>K3000</t>
  </si>
  <si>
    <t>LOAN APPLICATION NO</t>
  </si>
  <si>
    <t>LOAN AMOUNT</t>
  </si>
  <si>
    <t>APPROVED AMOUNT</t>
  </si>
  <si>
    <t>INTEREST RATE</t>
  </si>
  <si>
    <t>REPAYMENT PERIOD PAYDAYS</t>
  </si>
  <si>
    <t>TOTAL REPAYMENT</t>
  </si>
  <si>
    <t>AMOUNT PAID</t>
  </si>
  <si>
    <t>OUTSTANDING BALANCE</t>
  </si>
  <si>
    <t>REPAYMENT STATUS</t>
  </si>
  <si>
    <t>OCCUPATION</t>
  </si>
  <si>
    <t>WORK LOCATION</t>
  </si>
  <si>
    <t>PHONE NO</t>
  </si>
  <si>
    <t>CAMILUS DOMINIC</t>
  </si>
  <si>
    <t>RICKY JOLGAI</t>
  </si>
  <si>
    <t>CLIENT NAME</t>
  </si>
  <si>
    <t>TOTAL LOAN NO</t>
  </si>
  <si>
    <t>TOTAL LOAN AMOUNT</t>
  </si>
  <si>
    <t>TOTAL LOAN INTEREST PAID</t>
  </si>
  <si>
    <t>TOTAL LOAN DEFAULTS</t>
  </si>
  <si>
    <t>COMMENTS</t>
  </si>
  <si>
    <t>NEXT OF KIN NAME</t>
  </si>
  <si>
    <t>FIELD</t>
  </si>
  <si>
    <t>VALUE</t>
  </si>
  <si>
    <t>Registration No</t>
  </si>
  <si>
    <t>Mini Finance / Loan Services</t>
  </si>
  <si>
    <t>	empower clients by offering quick and reliable financial support,
	ensuring they can manage unexpected expenses to sustain their livelihood, 
	improve their overall quality of life, and 
	building long term relationships</t>
  </si>
  <si>
    <t>Core Values</t>
  </si>
  <si>
    <t>•	Integrity - Conducting Business honestly, ethically, and transparently
•	Customer Focus - Putting the needs of our clients first
•	Confidentiality – Protecting client information and privacy
•	Accessibility – Providing simple and convenient financial services
•	Responsibility – Promoting responsible borrowing and lending practices
•	Excellence – Delivering quality service and continuous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</si>
</sst>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d/mm/yyyy;@"/>
  </numFmts>
  <fonts count="17">
    <font>
      <sz val="11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theme="1"/>
      <name val="Courier New"/>
      <charset val="134"/>
    </font>
    <font>
      <u/>
      <sz val="11"/>
      <color rgb="FF800080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002060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rgb="FF000000"/>
      <name val="Aptos Narrow"/>
      <charset val="134"/>
    </font>
    <font>
      <b/>
      <sz val="11"/>
      <color theme="1"/>
      <name val="Calibri"/>
      <family val="2"/>
      <scheme val="minor"/>
    </font>
    <font>
      <sz val="8"/>
      <name val="Calibri"/>
      <charset val="134"/>
      <scheme val="minor"/>
    </font>
    <font>
      <sz val="11"/>
      <color rgb="FF000000"/>
      <name val="Abadi"/>
      <family val="2"/>
    </font>
    <font>
      <b/>
      <sz val="16"/>
      <color rgb="FF000000"/>
      <name val="Abadi"/>
      <family val="2"/>
    </font>
    <font>
      <sz val="14"/>
      <color theme="1"/>
      <name val="Abadi"/>
      <family val="2"/>
    </font>
    <font>
      <sz val="14"/>
      <color rgb="FF000000"/>
      <name val="Abadi"/>
      <family val="2"/>
    </font>
    <font>
      <b/>
      <sz val="14"/>
      <name val="Abadi"/>
      <family val="2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DAF2D0"/>
      </patternFill>
    </fill>
  </fills>
  <borders count="3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6" fillId="0" borderId="0" xfId="0" applyNumberFormat="1" applyFont="1" applyAlignment="1">
      <alignment horizontal="center"/>
    </xf>
    <xf numFmtId="0" fontId="5" fillId="0" borderId="0" xfId="0" applyFont="1" applyAlignment="1">
      <alignment vertical="center"/>
    </xf>
    <xf numFmtId="165" fontId="0" fillId="0" borderId="0" xfId="0" applyNumberFormat="1" applyAlignment="1">
      <alignment horizontal="center"/>
    </xf>
    <xf numFmtId="0" fontId="8" fillId="0" borderId="0" xfId="1" applyAlignment="1">
      <alignment horizontal="center" wrapText="1"/>
    </xf>
    <xf numFmtId="0" fontId="0" fillId="0" borderId="0" xfId="0" applyAlignment="1">
      <alignment horizontal="center" wrapText="1"/>
    </xf>
    <xf numFmtId="0" fontId="9" fillId="0" borderId="0" xfId="0" applyFont="1"/>
    <xf numFmtId="0" fontId="10" fillId="0" borderId="0" xfId="0" applyFont="1"/>
    <xf numFmtId="0" fontId="13" fillId="2" borderId="2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wrapText="1"/>
    </xf>
    <xf numFmtId="0" fontId="14" fillId="0" borderId="0" xfId="0" applyFont="1"/>
    <xf numFmtId="0" fontId="15" fillId="2" borderId="2" xfId="0" applyFont="1" applyFill="1" applyBorder="1"/>
    <xf numFmtId="0" fontId="15" fillId="0" borderId="2" xfId="0" applyFont="1" applyBorder="1"/>
    <xf numFmtId="0" fontId="16" fillId="0" borderId="0" xfId="0" applyFont="1"/>
    <xf numFmtId="0" fontId="15" fillId="2" borderId="1" xfId="0" applyFont="1" applyFill="1" applyBorder="1"/>
    <xf numFmtId="0" fontId="15" fillId="0" borderId="1" xfId="0" applyFont="1" applyBorder="1"/>
    <xf numFmtId="0" fontId="15" fillId="2" borderId="1" xfId="0" applyFont="1" applyFill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wrapText="1"/>
    </xf>
    <xf numFmtId="0" fontId="12" fillId="0" borderId="0" xfId="0" applyFont="1" applyAlignment="1">
      <alignment vertical="center"/>
    </xf>
    <xf numFmtId="0" fontId="15" fillId="0" borderId="0" xfId="0" applyFont="1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2">
    <cellStyle name="Hyperlink" xfId="1" builtinId="8"/>
    <cellStyle name="Normal" xfId="0" builtinId="0"/>
  </cellStyles>
  <dxfs count="88">
    <dxf>
      <numFmt numFmtId="0" formatCode="General"/>
      <alignment horizontal="center" vertical="center" wrapText="1"/>
    </dxf>
    <dxf>
      <numFmt numFmtId="0" formatCode="General"/>
      <alignment horizontal="center" vertical="center" wrapText="1"/>
    </dxf>
    <dxf>
      <numFmt numFmtId="0" formatCode="General"/>
      <alignment horizontal="center" vertical="center" wrapText="1"/>
    </dxf>
    <dxf>
      <numFmt numFmtId="0" formatCode="General"/>
      <alignment horizontal="center" vertical="center" wrapText="1"/>
    </dxf>
    <dxf>
      <alignment horizontal="center" vertical="center" wrapText="1"/>
    </dxf>
    <dxf>
      <numFmt numFmtId="0" formatCode="General"/>
      <alignment horizontal="center" vertical="center" wrapText="1"/>
    </dxf>
    <dxf>
      <numFmt numFmtId="0" formatCode="General"/>
      <alignment horizontal="center" vertical="center" wrapText="1"/>
    </dxf>
    <dxf>
      <numFmt numFmtId="0" formatCode="General"/>
      <alignment horizontal="center" vertical="center" wrapText="1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 wrapText="1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 wrapText="1"/>
    </dxf>
    <dxf>
      <numFmt numFmtId="0" formatCode="General"/>
      <alignment horizontal="center" vertical="center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yyyy\-mm\-dd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yyyy\-mm\-dd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yyyy\-mm\-dd"/>
      <alignment horizontal="center"/>
    </dxf>
    <dxf>
      <numFmt numFmtId="164" formatCode="yyyy\-mm\-dd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yyyy\-mm\-dd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wrapText="1"/>
    </dxf>
    <dxf>
      <alignment horizontal="center"/>
    </dxf>
    <dxf>
      <alignment horizontal="center"/>
    </dxf>
    <dxf>
      <alignment horizontal="center" wrapText="1"/>
    </dxf>
    <dxf>
      <alignment horizontal="center"/>
    </dxf>
    <dxf>
      <alignment horizontal="center"/>
    </dxf>
    <dxf>
      <numFmt numFmtId="165" formatCode="d/mm/yyyy;@"/>
      <alignment horizontal="center"/>
    </dxf>
    <dxf>
      <alignment horizontal="center"/>
    </dxf>
    <dxf>
      <alignment horizontal="center"/>
    </dxf>
    <dxf>
      <alignment horizontal="center"/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numFmt numFmtId="0" formatCode="General"/>
      <alignment horizontal="center" vertical="top" textRotation="0" wrapText="1" indent="0" justifyLastLine="0" shrinkToFit="0" readingOrder="0"/>
    </dxf>
    <dxf>
      <alignment wrapText="1"/>
    </dxf>
    <dxf>
      <numFmt numFmtId="0" formatCode="General"/>
      <alignment wrapText="1"/>
    </dxf>
    <dxf>
      <alignment wrapText="1"/>
    </dxf>
    <dxf>
      <alignment wrapText="1"/>
    </dxf>
    <dxf>
      <alignment horizontal="center" vertical="center" textRotation="0" wrapText="1" indent="0" justifyLastLine="0" shrinkToFit="0" readingOrder="0"/>
    </dxf>
    <dxf>
      <numFmt numFmtId="0" formatCode="General"/>
      <alignment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charset val="134"/>
        <scheme val="minor"/>
      </font>
      <alignment horizontal="center" vertical="center" textRotation="0" wrapText="1" indent="0" justifyLastLine="0" shrinkToFit="0" readingOrder="0"/>
    </dxf>
    <dxf>
      <fill>
        <patternFill patternType="solid">
          <fgColor theme="9" tint="0.59999389629810485"/>
          <bgColor theme="9" tint="0.59999389629810485"/>
        </patternFill>
      </fill>
    </dxf>
    <dxf>
      <fill>
        <patternFill patternType="solid">
          <fgColor theme="9" tint="0.59999389629810485"/>
          <bgColor theme="9" tint="0.59999389629810485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b/>
        <color theme="0"/>
      </font>
      <fill>
        <patternFill patternType="solid">
          <fgColor theme="9"/>
          <bgColor theme="9"/>
        </patternFill>
      </fill>
    </dxf>
    <dxf>
      <font>
        <b/>
        <color theme="1"/>
      </font>
      <fill>
        <patternFill patternType="solid">
          <fgColor theme="9" tint="0.79995117038483843"/>
          <bgColor theme="9" tint="0.79995117038483843"/>
        </patternFill>
      </fill>
      <border>
        <top style="thick">
          <color theme="0"/>
        </top>
        <vertical/>
        <horizontal/>
      </border>
    </dxf>
    <dxf>
      <font>
        <b/>
        <color theme="0"/>
      </font>
      <fill>
        <patternFill patternType="solid">
          <fgColor theme="9"/>
          <bgColor theme="9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9" tint="0.79995117038483843"/>
          <bgColor theme="9" tint="0.79995117038483843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9" defaultPivotStyle="PivotStyleLight16">
    <tableStyle name="TableStylePreset4_Accent6" pivot="0" count="7" xr9:uid="{0A83F175-C7A9-476A-8414-13FEEDB0F076}">
      <tableStyleElement type="wholeTable" dxfId="87"/>
      <tableStyleElement type="headerRow" dxfId="86"/>
      <tableStyleElement type="totalRow" dxfId="85"/>
      <tableStyleElement type="firstColumn" dxfId="84"/>
      <tableStyleElement type="lastColumn" dxfId="83"/>
      <tableStyleElement type="firstRowStripe" dxfId="82"/>
      <tableStyleElement type="firstColumnStripe" dxfId="8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1800225</xdr:colOff>
      <xdr:row>9</xdr:row>
      <xdr:rowOff>361950</xdr:rowOff>
    </xdr:from>
    <xdr:to>
      <xdr:col>1</xdr:col>
      <xdr:colOff>3799886</xdr:colOff>
      <xdr:row>9</xdr:row>
      <xdr:rowOff>2361611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32BF03B7-7C6E-723C-A0B8-C86D11C8A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7550" y="3286125"/>
          <a:ext cx="1999661" cy="1999661"/>
        </a:xfrm>
        <a:prstGeom prst="rect">
          <a:avLst/>
        </a:prstGeom>
      </xdr:spPr>
    </xdr:pic>
    <xdr:clientData/>
  </xdr:twoCellAnchor>
  <xdr:twoCellAnchor editAs="oneCell">
    <xdr:from>
      <xdr:col>1</xdr:col>
      <xdr:colOff>3733800</xdr:colOff>
      <xdr:row>9</xdr:row>
      <xdr:rowOff>352425</xdr:rowOff>
    </xdr:from>
    <xdr:to>
      <xdr:col>1</xdr:col>
      <xdr:colOff>5733461</xdr:colOff>
      <xdr:row>9</xdr:row>
      <xdr:rowOff>2352086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75E5B8C3-D095-7E26-9DDC-122C7FB62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91125" y="3276600"/>
          <a:ext cx="1999661" cy="1999661"/>
        </a:xfrm>
        <a:prstGeom prst="rect">
          <a:avLst/>
        </a:prstGeom>
      </xdr:spPr>
    </xdr:pic>
    <xdr:clientData/>
  </xdr:twoCellAnchor>
  <xdr:twoCellAnchor editAs="oneCell">
    <xdr:from>
      <xdr:col>1</xdr:col>
      <xdr:colOff>1790700</xdr:colOff>
      <xdr:row>9</xdr:row>
      <xdr:rowOff>2305050</xdr:rowOff>
    </xdr:from>
    <xdr:to>
      <xdr:col>1</xdr:col>
      <xdr:colOff>3790361</xdr:colOff>
      <xdr:row>9</xdr:row>
      <xdr:rowOff>4304711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9B1C329B-0D04-577E-F06A-2CBEC26E3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8025" y="5229225"/>
          <a:ext cx="1999661" cy="1999661"/>
        </a:xfrm>
        <a:prstGeom prst="rect">
          <a:avLst/>
        </a:prstGeom>
      </xdr:spPr>
    </xdr:pic>
    <xdr:clientData/>
  </xdr:twoCellAnchor>
  <xdr:twoCellAnchor editAs="oneCell">
    <xdr:from>
      <xdr:col>1</xdr:col>
      <xdr:colOff>3724275</xdr:colOff>
      <xdr:row>9</xdr:row>
      <xdr:rowOff>2286000</xdr:rowOff>
    </xdr:from>
    <xdr:to>
      <xdr:col>1</xdr:col>
      <xdr:colOff>5723936</xdr:colOff>
      <xdr:row>9</xdr:row>
      <xdr:rowOff>4285661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1C6B5E3B-4EAE-CABA-0CE2-07883DFDA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81600" y="5210175"/>
          <a:ext cx="1999661" cy="1999661"/>
        </a:xfrm>
        <a:prstGeom prst="rect">
          <a:avLst/>
        </a:prstGeom>
      </xdr:spPr>
    </xdr:pic>
    <xdr:clientData/>
  </xdr:twoCellAnchor>
  <xdr:twoCellAnchor>
    <xdr:from>
      <xdr:col>1</xdr:col>
      <xdr:colOff>1817919</xdr:colOff>
      <xdr:row>9</xdr:row>
      <xdr:rowOff>800100</xdr:rowOff>
    </xdr:from>
    <xdr:to>
      <xdr:col>1</xdr:col>
      <xdr:colOff>3457574</xdr:colOff>
      <xdr:row>9</xdr:row>
      <xdr:rowOff>1601082</xdr:rowOff>
    </xdr:to>
    <xdr:sp macro="" textlink="">
      <xdr:nvSpPr>
        <xdr:cNvPr id="62" name="Rectangle: Rounded Corners 4">
          <a:extLst>
            <a:ext uri="{FF2B5EF4-FFF2-40B4-BE49-F238E27FC236}">
              <a16:creationId xmlns:a16="http://schemas.microsoft.com/office/drawing/2014/main" id="{A3BCBD3C-898F-299A-2275-954EC3D55354}"/>
            </a:ext>
          </a:extLst>
        </xdr:cNvPr>
        <xdr:cNvSpPr txBox="1"/>
      </xdr:nvSpPr>
      <xdr:spPr>
        <a:xfrm>
          <a:off x="3275244" y="3724275"/>
          <a:ext cx="1639655" cy="800982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spcFirstLastPara="0" vert="horz" wrap="square" lIns="34290" tIns="34290" rIns="34290" bIns="34290" numCol="1" spcCol="1270" anchor="t" anchorCtr="0">
          <a:noAutofit/>
        </a:bodyPr>
        <a:lstStyle/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900" b="1" kern="1200">
              <a:solidFill>
                <a:srgbClr val="FF0000"/>
              </a:solidFill>
            </a:rPr>
            <a:t>FORTNIGHTLY REPAYMENT</a:t>
          </a:r>
        </a:p>
        <a:p>
          <a:pPr marL="0" lvl="0" indent="-45720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en-US" sz="900" b="1" kern="1200">
            <a:solidFill>
              <a:srgbClr val="FF0000"/>
            </a:solidFill>
          </a:endParaRPr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900" b="1" kern="1200">
              <a:solidFill>
                <a:srgbClr val="FF0000"/>
              </a:solidFill>
            </a:rPr>
            <a:t>LOW INTEREST</a:t>
          </a:r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en-US" sz="900" b="1" kern="1200">
            <a:solidFill>
              <a:srgbClr val="FF0000"/>
            </a:solidFill>
          </a:endParaRPr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900" b="1" kern="1200">
              <a:solidFill>
                <a:srgbClr val="FF0000"/>
              </a:solidFill>
            </a:rPr>
            <a:t>OVER 4 PAYDAYS</a:t>
          </a:r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en-US" sz="900" b="1" kern="1200">
            <a:solidFill>
              <a:srgbClr val="FF0000"/>
            </a:solidFill>
          </a:endParaRPr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900" b="1" kern="1200">
              <a:solidFill>
                <a:srgbClr val="FF0000"/>
              </a:solidFill>
            </a:rPr>
            <a:t>ADDITIONAL LOAN </a:t>
          </a:r>
        </a:p>
      </xdr:txBody>
    </xdr:sp>
    <xdr:clientData/>
  </xdr:twoCellAnchor>
  <xdr:twoCellAnchor>
    <xdr:from>
      <xdr:col>1</xdr:col>
      <xdr:colOff>4015696</xdr:colOff>
      <xdr:row>9</xdr:row>
      <xdr:rowOff>614217</xdr:rowOff>
    </xdr:from>
    <xdr:to>
      <xdr:col>1</xdr:col>
      <xdr:colOff>5548790</xdr:colOff>
      <xdr:row>9</xdr:row>
      <xdr:rowOff>1666874</xdr:rowOff>
    </xdr:to>
    <xdr:sp macro="" textlink="">
      <xdr:nvSpPr>
        <xdr:cNvPr id="71" name="Rectangle: Rounded Corners 4">
          <a:extLst>
            <a:ext uri="{FF2B5EF4-FFF2-40B4-BE49-F238E27FC236}">
              <a16:creationId xmlns:a16="http://schemas.microsoft.com/office/drawing/2014/main" id="{91CA6400-B0FF-6AAC-D186-C980738B81CD}"/>
            </a:ext>
          </a:extLst>
        </xdr:cNvPr>
        <xdr:cNvSpPr txBox="1"/>
      </xdr:nvSpPr>
      <xdr:spPr>
        <a:xfrm>
          <a:off x="5473021" y="3538392"/>
          <a:ext cx="1533094" cy="1052657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spcFirstLastPara="0" vert="horz" wrap="square" lIns="34290" tIns="34290" rIns="34290" bIns="34290" numCol="1" spcCol="1270" anchor="t" anchorCtr="0">
          <a:noAutofit/>
        </a:bodyPr>
        <a:lstStyle/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900" b="1" kern="1200">
              <a:solidFill>
                <a:srgbClr val="7030A0"/>
              </a:solidFill>
            </a:rPr>
            <a:t>CUSTOMER FOCUSS</a:t>
          </a:r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en-US" sz="900" b="1" kern="1200">
            <a:solidFill>
              <a:srgbClr val="7030A0"/>
            </a:solidFill>
          </a:endParaRPr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900" b="1" kern="1200">
              <a:solidFill>
                <a:srgbClr val="7030A0"/>
              </a:solidFill>
            </a:rPr>
            <a:t>FAST SERVICE</a:t>
          </a:r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en-US" sz="900" b="1" kern="1200">
            <a:solidFill>
              <a:srgbClr val="7030A0"/>
            </a:solidFill>
          </a:endParaRPr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900" b="1" kern="1200">
              <a:solidFill>
                <a:srgbClr val="7030A0"/>
              </a:solidFill>
            </a:rPr>
            <a:t>BALANCE WIDTHDRAWAL</a:t>
          </a:r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en-US" sz="900" b="1" kern="1200">
            <a:solidFill>
              <a:srgbClr val="7030A0"/>
            </a:solidFill>
          </a:endParaRPr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900" b="1" kern="1200">
              <a:solidFill>
                <a:srgbClr val="7030A0"/>
              </a:solidFill>
            </a:rPr>
            <a:t>FRIENDLINESS</a:t>
          </a:r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en-US" sz="900" b="1" kern="1200">
            <a:solidFill>
              <a:srgbClr val="7030A0"/>
            </a:solidFill>
          </a:endParaRPr>
        </a:p>
        <a:p>
          <a:pPr marL="57150" lvl="1" indent="-57150" algn="l" defTabSz="3556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endParaRPr lang="en-US" sz="800" kern="1200"/>
        </a:p>
      </xdr:txBody>
    </xdr:sp>
    <xdr:clientData/>
  </xdr:twoCellAnchor>
  <xdr:twoCellAnchor>
    <xdr:from>
      <xdr:col>1</xdr:col>
      <xdr:colOff>3744483</xdr:colOff>
      <xdr:row>9</xdr:row>
      <xdr:rowOff>3141848</xdr:rowOff>
    </xdr:from>
    <xdr:to>
      <xdr:col>1</xdr:col>
      <xdr:colOff>5418996</xdr:colOff>
      <xdr:row>9</xdr:row>
      <xdr:rowOff>3929515</xdr:rowOff>
    </xdr:to>
    <xdr:sp macro="" textlink="">
      <xdr:nvSpPr>
        <xdr:cNvPr id="77" name="Rectangle: Rounded Corners 4">
          <a:extLst>
            <a:ext uri="{FF2B5EF4-FFF2-40B4-BE49-F238E27FC236}">
              <a16:creationId xmlns:a16="http://schemas.microsoft.com/office/drawing/2014/main" id="{2139D8FE-1595-6F1F-D30F-588623D10211}"/>
            </a:ext>
          </a:extLst>
        </xdr:cNvPr>
        <xdr:cNvSpPr txBox="1"/>
      </xdr:nvSpPr>
      <xdr:spPr>
        <a:xfrm>
          <a:off x="5201808" y="6066023"/>
          <a:ext cx="1674513" cy="787667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spcFirstLastPara="0" vert="horz" wrap="square" lIns="41910" tIns="41910" rIns="41910" bIns="41910" numCol="1" spcCol="1270" anchor="t" anchorCtr="0">
          <a:noAutofit/>
        </a:bodyPr>
        <a:lstStyle/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1100" b="1" kern="1200"/>
            <a:t>UNDERSTANDING NEEDS</a:t>
          </a:r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1100" b="1" kern="1200"/>
            <a:t>ESTABLISHING CONTACTS</a:t>
          </a:r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1100" b="1" kern="1200"/>
            <a:t>RELIABLE &amp; CONSIDERATE</a:t>
          </a:r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1100" b="1" kern="1200"/>
            <a:t>MEETING NEEDS</a:t>
          </a:r>
        </a:p>
      </xdr:txBody>
    </xdr:sp>
    <xdr:clientData/>
  </xdr:twoCellAnchor>
  <xdr:twoCellAnchor>
    <xdr:from>
      <xdr:col>1</xdr:col>
      <xdr:colOff>1825149</xdr:colOff>
      <xdr:row>9</xdr:row>
      <xdr:rowOff>3051778</xdr:rowOff>
    </xdr:from>
    <xdr:to>
      <xdr:col>1</xdr:col>
      <xdr:colOff>3769594</xdr:colOff>
      <xdr:row>9</xdr:row>
      <xdr:rowOff>3852891</xdr:rowOff>
    </xdr:to>
    <xdr:sp macro="" textlink="">
      <xdr:nvSpPr>
        <xdr:cNvPr id="83" name="Rectangle: Rounded Corners 4">
          <a:extLst>
            <a:ext uri="{FF2B5EF4-FFF2-40B4-BE49-F238E27FC236}">
              <a16:creationId xmlns:a16="http://schemas.microsoft.com/office/drawing/2014/main" id="{ABE9B2A1-2F8A-DAE8-8A7D-2FA566F5F347}"/>
            </a:ext>
          </a:extLst>
        </xdr:cNvPr>
        <xdr:cNvSpPr txBox="1"/>
      </xdr:nvSpPr>
      <xdr:spPr>
        <a:xfrm>
          <a:off x="3282474" y="5975953"/>
          <a:ext cx="1944445" cy="801113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spcFirstLastPara="0" vert="horz" wrap="square" lIns="34290" tIns="34290" rIns="34290" bIns="34290" numCol="1" spcCol="1270" anchor="t" anchorCtr="0">
          <a:noAutofit/>
        </a:bodyPr>
        <a:lstStyle/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900" b="1" kern="1200">
              <a:solidFill>
                <a:srgbClr val="00206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TRUSTWORTHY</a:t>
          </a:r>
          <a:endParaRPr lang="en-US" sz="1050" b="1" kern="1200">
            <a:solidFill>
              <a:srgbClr val="00206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900" b="1" kern="1200">
              <a:solidFill>
                <a:srgbClr val="00206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SAFETY OF BANK CARDS</a:t>
          </a:r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900" b="1" kern="1200">
              <a:solidFill>
                <a:srgbClr val="00206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DETAIL TRANSACTION RECORDS </a:t>
          </a:r>
        </a:p>
        <a:p>
          <a:pPr marL="57150" lvl="1" indent="-57150" algn="l" defTabSz="4000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n-US" sz="900" b="1" kern="1200">
              <a:solidFill>
                <a:srgbClr val="00206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CONFIDENTIAL CLIENT INFORMATION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B12" totalsRowShown="0" headerRowDxfId="72" dataDxfId="71">
  <autoFilter ref="A2:B12" xr:uid="{00000000-0009-0000-0100-000001000000}"/>
  <tableColumns count="2">
    <tableColumn id="1" xr3:uid="{00000000-0010-0000-0000-000001000000}" name="Company Name" dataDxfId="70"/>
    <tableColumn id="2" xr3:uid="{00000000-0010-0000-0000-000002000000}" name="MOLE MINI-FINANCE" dataDxfId="6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e6" displayName="Table6" ref="A1:Q11" totalsRowShown="0">
  <autoFilter ref="A1:Q11" xr:uid="{00000000-0009-0000-0100-000006000000}"/>
  <tableColumns count="17">
    <tableColumn id="1" xr3:uid="{00000000-0010-0000-0100-000001000000}" name="CLIENT NO" dataDxfId="68"/>
    <tableColumn id="2" xr3:uid="{00000000-0010-0000-0100-000002000000}" name="FULL NAME" dataDxfId="67"/>
    <tableColumn id="3" xr3:uid="{00000000-0010-0000-0100-000003000000}" name="SEX" dataDxfId="66"/>
    <tableColumn id="4" xr3:uid="{00000000-0010-0000-0100-000004000000}" name="DATE OF BIRTH" dataDxfId="65"/>
    <tableColumn id="5" xr3:uid="{00000000-0010-0000-0100-000005000000}" name="PHONE" dataDxfId="64"/>
    <tableColumn id="6" xr3:uid="{00000000-0010-0000-0100-000006000000}" name="PLACE OF RESIDENCE" dataDxfId="63"/>
    <tableColumn id="17" xr3:uid="{00000000-0010-0000-0100-000011000000}" name="EMAIL ADDRESS" dataDxfId="62"/>
    <tableColumn id="7" xr3:uid="{00000000-0010-0000-0100-000007000000}" name="NEXT OF KIN NAME" dataDxfId="61"/>
    <tableColumn id="8" xr3:uid="{00000000-0010-0000-0100-000008000000}" name="RELATIONSHIP" dataDxfId="60"/>
    <tableColumn id="9" xr3:uid="{00000000-0010-0000-0100-000009000000}" name="NEXT OF KIN PHONE NO" dataDxfId="59"/>
    <tableColumn id="10" xr3:uid="{00000000-0010-0000-0100-00000A000000}" name="EMPLOYMENT SECTOR" dataDxfId="58"/>
    <tableColumn id="11" xr3:uid="{00000000-0010-0000-0100-00000B000000}" name="EMPLOYER NAME" dataDxfId="57"/>
    <tableColumn id="12" xr3:uid="{00000000-0010-0000-0100-00000C000000}" name="JOB TITLE" dataDxfId="56"/>
    <tableColumn id="13" xr3:uid="{00000000-0010-0000-0100-00000D000000}" name="SALARY DEDUCTION FREQUENCY" dataDxfId="55"/>
    <tableColumn id="14" xr3:uid="{00000000-0010-0000-0100-00000E000000}" name="PAYROLL DEDUCTION AVAILABLE" dataDxfId="54"/>
    <tableColumn id="15" xr3:uid="{00000000-0010-0000-0100-00000F000000}" name="BANK ACCOUNT CONFIRMED" dataDxfId="53"/>
    <tableColumn id="16" xr3:uid="{00000000-0010-0000-0100-000010000000}" name="KYC NOTES" dataDxfId="5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1:S11" totalsRowShown="0">
  <autoFilter ref="A1:S11" xr:uid="{00000000-0009-0000-0100-000005000000}"/>
  <tableColumns count="19">
    <tableColumn id="1" xr3:uid="{00000000-0010-0000-0200-000001000000}" name="Loan App No" dataDxfId="51"/>
    <tableColumn id="2" xr3:uid="{00000000-0010-0000-0200-000002000000}" name="Client No" dataDxfId="50"/>
    <tableColumn id="3" xr3:uid="{00000000-0010-0000-0200-000003000000}" name="Loan Type" dataDxfId="49"/>
    <tableColumn id="4" xr3:uid="{00000000-0010-0000-0200-000004000000}" name="Amount Requested" dataDxfId="48"/>
    <tableColumn id="5" xr3:uid="{00000000-0010-0000-0200-000005000000}" name="Purpose Details" dataDxfId="47"/>
    <tableColumn id="6" xr3:uid="{00000000-0010-0000-0200-000006000000}" name="Application Date" dataDxfId="46"/>
    <tableColumn id="7" xr3:uid="{00000000-0010-0000-0200-000007000000}" name="Documents Received" dataDxfId="45"/>
    <tableColumn id="8" xr3:uid="{00000000-0010-0000-0200-000008000000}" name="Verification Status" dataDxfId="44"/>
    <tableColumn id="9" xr3:uid="{00000000-0010-0000-0200-000009000000}" name="Approval Status" dataDxfId="43"/>
    <tableColumn id="10" xr3:uid="{00000000-0010-0000-0200-00000A000000}" name="Approved Amount" dataDxfId="42"/>
    <tableColumn id="11" xr3:uid="{00000000-0010-0000-0200-00000B000000}" name="Approved Date" dataDxfId="41"/>
    <tableColumn id="12" xr3:uid="{00000000-0010-0000-0200-00000C000000}" name="Disbursement Date" dataDxfId="40"/>
    <tableColumn id="13" xr3:uid="{00000000-0010-0000-0200-00000D000000}" name="Interest Rate" dataDxfId="39"/>
    <tableColumn id="14" xr3:uid="{00000000-0010-0000-0200-00000E000000}" name="Repayment Period (Paydays)" dataDxfId="38"/>
    <tableColumn id="15" xr3:uid="{00000000-0010-0000-0200-00000F000000}" name="Total Repayment" dataDxfId="37"/>
    <tableColumn id="16" xr3:uid="{00000000-0010-0000-0200-000010000000}" name="Installment Amount" dataDxfId="36"/>
    <tableColumn id="17" xr3:uid="{00000000-0010-0000-0200-000011000000}" name="Repayment Start Date" dataDxfId="35"/>
    <tableColumn id="18" xr3:uid="{00000000-0010-0000-0200-000012000000}" name="Officer/Approver" dataDxfId="34"/>
    <tableColumn id="19" xr3:uid="{00000000-0010-0000-0200-000013000000}" name="Notes" dataDxfId="33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L11" totalsRowShown="0">
  <autoFilter ref="A1:L11" xr:uid="{00000000-0009-0000-0100-000004000000}"/>
  <tableColumns count="12">
    <tableColumn id="1" xr3:uid="{00000000-0010-0000-0300-000001000000}" name="Repayment ID" dataDxfId="32"/>
    <tableColumn id="2" xr3:uid="{00000000-0010-0000-0300-000002000000}" name="Loan App No" dataDxfId="31"/>
    <tableColumn id="4" xr3:uid="{00000000-0010-0000-0300-000004000000}" name="Due Date" dataDxfId="30"/>
    <tableColumn id="5" xr3:uid="{00000000-0010-0000-0300-000005000000}" name="Due Amount" dataDxfId="29"/>
    <tableColumn id="6" xr3:uid="{00000000-0010-0000-0300-000006000000}" name="Paid Amount" dataDxfId="28"/>
    <tableColumn id="7" xr3:uid="{00000000-0010-0000-0300-000007000000}" name="Payment Method" dataDxfId="27"/>
    <tableColumn id="8" xr3:uid="{00000000-0010-0000-0300-000008000000}" name="Payment Date" dataDxfId="26"/>
    <tableColumn id="9" xr3:uid="{00000000-0010-0000-0300-000009000000}" name="Status" dataDxfId="25"/>
    <tableColumn id="10" xr3:uid="{00000000-0010-0000-0300-00000A000000}" name="Late fees/ Interest" dataDxfId="24"/>
    <tableColumn id="11" xr3:uid="{00000000-0010-0000-0300-00000B000000}" name="Notes" dataDxfId="23"/>
    <tableColumn id="12" xr3:uid="{00000000-0010-0000-0300-00000C000000}" name="Column1" dataDxfId="22"/>
    <tableColumn id="13" xr3:uid="{00000000-0010-0000-0300-00000D000000}" name="Column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Risk_And_Collection___Copy" displayName="Risk_And_Collection___Copy" ref="B2:F13" totalsRowShown="0">
  <autoFilter ref="B2:F13" xr:uid="{00000000-0009-0000-0100-000002000000}"/>
  <tableColumns count="5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Loan_Calculator" displayName="Loan_Calculator" ref="B2:F48" totalsRowShown="0">
  <autoFilter ref="B2:F48" xr:uid="{00000000-0009-0000-0100-000003000000}"/>
  <tableColumns count="5">
    <tableColumn id="1" xr3:uid="{00000000-0010-0000-0500-000001000000}" name="Loan Amount" dataDxfId="21"/>
    <tableColumn id="2" xr3:uid="{00000000-0010-0000-0500-000002000000}" name="Interest Rate" dataDxfId="20"/>
    <tableColumn id="3" xr3:uid="{00000000-0010-0000-0500-000003000000}" name="Paydays/Forthnights" dataDxfId="19"/>
    <tableColumn id="4" xr3:uid="{00000000-0010-0000-0500-000004000000}" name="Forthnightly Payment" dataDxfId="18"/>
    <tableColumn id="5" xr3:uid="{00000000-0010-0000-0500-000005000000}" name="Total Repayment" dataDxfId="1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1:S11" totalsRowShown="0">
  <autoFilter ref="A1:S11" xr:uid="{00000000-0009-0000-0100-000007000000}"/>
  <tableColumns count="19">
    <tableColumn id="1" xr3:uid="{00000000-0010-0000-0600-000001000000}" name="CLIENT NO"/>
    <tableColumn id="2" xr3:uid="{00000000-0010-0000-0600-000002000000}" name="FULL NAME"/>
    <tableColumn id="3" xr3:uid="{00000000-0010-0000-0600-000003000000}" name="LOAN APPLICATION NO" dataDxfId="16"/>
    <tableColumn id="4" xr3:uid="{00000000-0010-0000-0600-000004000000}" name="LOAN AMOUNT" dataDxfId="15">
      <calculatedColumnFormula>VLOOKUP(Table7[[#This Row],[LOAN APPLICATION NO]],LOAN_APPLICATION!A:P,4,FALSE)</calculatedColumnFormula>
    </tableColumn>
    <tableColumn id="11" xr3:uid="{00000000-0010-0000-0600-00000B000000}" name="APPROVED AMOUNT" dataDxfId="14">
      <calculatedColumnFormula>VLOOKUP(Table7[[#This Row],[LOAN APPLICATION NO]],LOAN_APPLICATION!A:P,10,FALSE)</calculatedColumnFormula>
    </tableColumn>
    <tableColumn id="5" xr3:uid="{00000000-0010-0000-0600-000005000000}" name="INTEREST RATE" dataDxfId="13">
      <calculatedColumnFormula>VLOOKUP(Table7[[#This Row],[LOAN APPLICATION NO]],LOAN_APPLICATION!A:P,13,FALSE)</calculatedColumnFormula>
    </tableColumn>
    <tableColumn id="6" xr3:uid="{00000000-0010-0000-0600-000006000000}" name="REPAYMENT PERIOD PAYDAYS" dataDxfId="12">
      <calculatedColumnFormula>VLOOKUP(Table7[[#This Row],[LOAN APPLICATION NO]],LOAN_APPLICATION!A:P,14,FALSE)</calculatedColumnFormula>
    </tableColumn>
    <tableColumn id="12" xr3:uid="{00000000-0010-0000-0600-00000C000000}" name="TOTAL REPAYMENT" dataDxfId="11">
      <calculatedColumnFormula>VLOOKUP(Table7[[#This Row],[LOAN APPLICATION NO]],LOAN_APPLICATION!A:P,15,FALSE)</calculatedColumnFormula>
    </tableColumn>
    <tableColumn id="8" xr3:uid="{00000000-0010-0000-0600-000008000000}" name="AMOUNT PAID" dataDxfId="10">
      <calculatedColumnFormula>SUMIF(REPAYMENT_SCHEDULE!B:B,Table7[[#This Row],[LOAN APPLICATION NO]],REPAYMENT_SCHEDULE!F:F)</calculatedColumnFormula>
    </tableColumn>
    <tableColumn id="9" xr3:uid="{00000000-0010-0000-0600-000009000000}" name="OUTSTANDING BALANCE" dataDxfId="9">
      <calculatedColumnFormula>Table7[[#This Row],[TOTAL REPAYMENT]]-Table7[[#This Row],[AMOUNT PAID]]</calculatedColumnFormula>
    </tableColumn>
    <tableColumn id="10" xr3:uid="{00000000-0010-0000-0600-00000A000000}" name="REPAYMENT STATUS" dataDxfId="8">
      <calculatedColumnFormula>IF(Table7[[#This Row],[OUTSTANDING BALANCE]]=0,"Completed","Pending")</calculatedColumnFormula>
    </tableColumn>
    <tableColumn id="13" xr3:uid="{00000000-0010-0000-0600-00000D000000}" name="OCCUPATION" dataDxfId="7">
      <calculatedColumnFormula>VLOOKUP(Table7[[#This Row],[CLIENT NO]],CLIENT_MASTER!A:O,12,FALSE)</calculatedColumnFormula>
    </tableColumn>
    <tableColumn id="15" xr3:uid="{00000000-0010-0000-0600-00000F000000}" name="EMPLOYER NAME" dataDxfId="6">
      <calculatedColumnFormula>VLOOKUP(Table7[[#This Row],[CLIENT NO]],CLIENT_MASTER!A:O,11,FALSE)</calculatedColumnFormula>
    </tableColumn>
    <tableColumn id="16" xr3:uid="{00000000-0010-0000-0600-000010000000}" name="WORK LOCATION" dataDxfId="5">
      <calculatedColumnFormula>VLOOKUP(Table7[[#This Row],[CLIENT NO]],CLIENT_MASTER!A:O,6,FALSE)</calculatedColumnFormula>
    </tableColumn>
    <tableColumn id="20" xr3:uid="{00000000-0010-0000-0600-000014000000}" name="EMAIL ADDRESS" dataDxfId="4"/>
    <tableColumn id="17" xr3:uid="{00000000-0010-0000-0600-000011000000}" name="PHONE NO" dataDxfId="3">
      <calculatedColumnFormula>VLOOKUP(Table7[[#This Row],[CLIENT NO]],CLIENT_MASTER!A:O,5,FALSE)</calculatedColumnFormula>
    </tableColumn>
    <tableColumn id="18" xr3:uid="{00000000-0010-0000-0600-000012000000}" name="NEXT OF KIN NAME" dataDxfId="2">
      <calculatedColumnFormula>VLOOKUP(Table7[[#This Row],[CLIENT NO]],CLIENT_MASTER!A:O,8,FALSE)</calculatedColumnFormula>
    </tableColumn>
    <tableColumn id="19" xr3:uid="{00000000-0010-0000-0600-000013000000}" name="RELATIONSHIP" dataDxfId="1">
      <calculatedColumnFormula>VLOOKUP(Table7[[#This Row],[CLIENT NO]],CLIENT_MASTER!A:O,9,FALSE)</calculatedColumnFormula>
    </tableColumn>
    <tableColumn id="7" xr3:uid="{00000000-0010-0000-0600-000007000000}" name="NEXT OF KIN PHONE NO" dataDxfId="0">
      <calculatedColumnFormula>VLOOKUP(Table7[[#This Row],[CLIENT NO]],CLIENT_MASTER!A:O,10,FALSE)</calculatedColumnFormula>
    </tableColumn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e9" displayName="Table9" ref="A1:G11" totalsRowShown="0" headerRowDxfId="80">
  <autoFilter ref="A1:G11" xr:uid="{00000000-0009-0000-0100-000009000000}"/>
  <tableColumns count="7">
    <tableColumn id="1" xr3:uid="{00000000-0010-0000-0700-000001000000}" name="CLIENT NO" dataDxfId="79">
      <calculatedColumnFormula array="1">INDEX(CLIENT_MASTER!A:A,ROW(A2))</calculatedColumnFormula>
    </tableColumn>
    <tableColumn id="2" xr3:uid="{00000000-0010-0000-0700-000002000000}" name="CLIENT NAME" dataDxfId="78"/>
    <tableColumn id="3" xr3:uid="{00000000-0010-0000-0700-000003000000}" name="TOTAL LOAN NO" dataDxfId="77"/>
    <tableColumn id="4" xr3:uid="{00000000-0010-0000-0700-000004000000}" name="TOTAL LOAN AMOUNT" dataDxfId="76"/>
    <tableColumn id="5" xr3:uid="{00000000-0010-0000-0700-000005000000}" name="TOTAL LOAN INTEREST PAID" dataDxfId="75">
      <calculatedColumnFormula>SUMIF(LOAN_APPLICATION!B:B, A2, LOAN_APPLICATION!N:N) - SUMIF(LOAN_APPLICATION!B:B, A2, LOAN_APPLICATION!J:J)</calculatedColumnFormula>
    </tableColumn>
    <tableColumn id="6" xr3:uid="{00000000-0010-0000-0700-000006000000}" name="TOTAL LOAN DEFAULTS" dataDxfId="74"/>
    <tableColumn id="7" xr3:uid="{00000000-0010-0000-0700-000007000000}" name="COMMENTS" dataDxfId="73">
      <calculatedColumnFormula>IF(Table9[[#This Row],[TOTAL LOAN DEFAULTS]]&gt;0,"Needs Review","Good Standing")</calculatedColumnFormula>
    </tableColumn>
  </tableColumns>
  <tableStyleInfo name="TableStylePreset4_Accen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camilusdominic18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hyperlink" Target="mailto:camilusdominic18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opLeftCell="A10" workbookViewId="0">
      <selection activeCell="B13" sqref="B13"/>
    </sheetView>
  </sheetViews>
  <sheetFormatPr defaultColWidth="9" defaultRowHeight="15"/>
  <cols>
    <col min="1" max="1" width="21.85546875" customWidth="1"/>
    <col min="2" max="2" width="118" customWidth="1"/>
  </cols>
  <sheetData>
    <row r="1" spans="1:2">
      <c r="A1" s="12" t="s">
        <v>290</v>
      </c>
      <c r="B1" s="26" t="s">
        <v>291</v>
      </c>
    </row>
    <row r="2" spans="1:2" ht="20.25">
      <c r="A2" s="32" t="s">
        <v>4</v>
      </c>
      <c r="B2" s="29" t="s">
        <v>5</v>
      </c>
    </row>
    <row r="3" spans="1:2" ht="20.25">
      <c r="A3" s="33" t="s">
        <v>292</v>
      </c>
      <c r="B3" s="30" t="s">
        <v>6</v>
      </c>
    </row>
    <row r="4" spans="1:2" ht="20.25">
      <c r="A4" s="34" t="s">
        <v>7</v>
      </c>
      <c r="B4" s="31" t="s">
        <v>293</v>
      </c>
    </row>
    <row r="5" spans="1:2" ht="20.25">
      <c r="A5" s="33" t="s">
        <v>8</v>
      </c>
      <c r="B5" s="30" t="s">
        <v>9</v>
      </c>
    </row>
    <row r="6" spans="1:2" ht="20.25">
      <c r="A6" s="34" t="s">
        <v>10</v>
      </c>
      <c r="B6" s="31" t="s">
        <v>11</v>
      </c>
    </row>
    <row r="7" spans="1:2" ht="20.25">
      <c r="A7" s="33" t="s">
        <v>12</v>
      </c>
      <c r="B7" s="30" t="s">
        <v>13</v>
      </c>
    </row>
    <row r="8" spans="1:2" ht="20.25">
      <c r="A8" s="34" t="s">
        <v>14</v>
      </c>
      <c r="B8" s="31" t="s">
        <v>15</v>
      </c>
    </row>
    <row r="9" spans="1:2" ht="110.25" customHeight="1">
      <c r="A9" s="35" t="s">
        <v>16</v>
      </c>
      <c r="B9" s="27" t="s">
        <v>294</v>
      </c>
    </row>
    <row r="10" spans="1:2" ht="347.25" customHeight="1">
      <c r="A10" s="36" t="s">
        <v>17</v>
      </c>
      <c r="B10" s="28"/>
    </row>
    <row r="11" spans="1:2" ht="127.5" customHeight="1">
      <c r="A11" s="37" t="s">
        <v>295</v>
      </c>
      <c r="B11" s="40" t="s">
        <v>296</v>
      </c>
    </row>
    <row r="12" spans="1:2">
      <c r="A12" s="39"/>
      <c r="B12" s="38"/>
    </row>
    <row r="13" spans="1:2">
      <c r="A13" s="25"/>
      <c r="B13" s="25"/>
    </row>
    <row r="14" spans="1:2">
      <c r="A14" s="25"/>
      <c r="B14" s="25"/>
    </row>
  </sheetData>
  <phoneticPr fontId="11" type="noConversion"/>
  <pageMargins left="0.75" right="0.75" top="1" bottom="1" header="0.5" footer="0.5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"/>
  <sheetViews>
    <sheetView topLeftCell="J1" workbookViewId="0">
      <selection activeCell="O16" sqref="O16"/>
    </sheetView>
  </sheetViews>
  <sheetFormatPr defaultColWidth="9" defaultRowHeight="15"/>
  <cols>
    <col min="1" max="1" width="12.42578125" customWidth="1"/>
    <col min="2" max="2" width="16.7109375" customWidth="1"/>
    <col min="3" max="3" width="6.28515625" customWidth="1"/>
    <col min="4" max="4" width="16.140625" customWidth="1"/>
    <col min="5" max="5" width="11.28515625" customWidth="1"/>
    <col min="6" max="6" width="21.42578125" customWidth="1"/>
    <col min="7" max="7" width="33.5703125" customWidth="1"/>
    <col min="8" max="8" width="18.7109375" customWidth="1"/>
    <col min="9" max="10" width="22.7109375" customWidth="1"/>
    <col min="11" max="11" width="18.7109375" customWidth="1"/>
    <col min="12" max="12" width="20.5703125" customWidth="1"/>
    <col min="13" max="14" width="32" customWidth="1"/>
    <col min="15" max="15" width="28.7109375" customWidth="1"/>
    <col min="16" max="16" width="13.28515625" customWidth="1"/>
    <col min="17" max="17" width="11" customWidth="1"/>
    <col min="18" max="18" width="14.85546875" customWidth="1"/>
    <col min="19" max="19" width="11" customWidth="1"/>
  </cols>
  <sheetData>
    <row r="1" spans="1:17" ht="30" customHeight="1">
      <c r="A1" s="21" t="s">
        <v>18</v>
      </c>
      <c r="B1" s="21" t="s">
        <v>19</v>
      </c>
      <c r="C1" s="21" t="s">
        <v>20</v>
      </c>
      <c r="D1" s="21" t="s">
        <v>21</v>
      </c>
      <c r="E1" s="21" t="s">
        <v>22</v>
      </c>
      <c r="F1" s="21" t="s">
        <v>23</v>
      </c>
      <c r="G1" s="15" t="s">
        <v>24</v>
      </c>
      <c r="H1" s="21" t="s">
        <v>289</v>
      </c>
      <c r="I1" s="21" t="s">
        <v>25</v>
      </c>
      <c r="J1" s="21" t="s">
        <v>33</v>
      </c>
      <c r="K1" s="21" t="s">
        <v>26</v>
      </c>
      <c r="L1" s="21" t="s">
        <v>27</v>
      </c>
      <c r="M1" s="21" t="s">
        <v>28</v>
      </c>
      <c r="N1" s="21" t="s">
        <v>29</v>
      </c>
      <c r="O1" s="21" t="s">
        <v>30</v>
      </c>
      <c r="P1" s="21" t="s">
        <v>31</v>
      </c>
      <c r="Q1" s="21" t="s">
        <v>32</v>
      </c>
    </row>
    <row r="2" spans="1:17" ht="15" customHeight="1">
      <c r="A2" s="11" t="s">
        <v>34</v>
      </c>
      <c r="B2" s="11" t="s">
        <v>35</v>
      </c>
      <c r="C2" s="11" t="s">
        <v>36</v>
      </c>
      <c r="D2" s="22">
        <v>26885</v>
      </c>
      <c r="E2" s="11" t="s">
        <v>37</v>
      </c>
      <c r="F2" s="11" t="s">
        <v>38</v>
      </c>
      <c r="G2" s="23" t="s">
        <v>39</v>
      </c>
      <c r="H2" s="11" t="s">
        <v>40</v>
      </c>
      <c r="I2" s="11" t="s">
        <v>41</v>
      </c>
      <c r="J2" s="24">
        <v>709751874</v>
      </c>
      <c r="K2" s="11" t="s">
        <v>42</v>
      </c>
      <c r="L2" s="11" t="s">
        <v>43</v>
      </c>
      <c r="M2" s="11" t="s">
        <v>44</v>
      </c>
      <c r="N2" s="11" t="s">
        <v>45</v>
      </c>
      <c r="O2" s="11" t="s">
        <v>46</v>
      </c>
      <c r="P2" s="11" t="s">
        <v>46</v>
      </c>
      <c r="Q2" s="11" t="s">
        <v>47</v>
      </c>
    </row>
    <row r="3" spans="1:17" ht="15" customHeight="1">
      <c r="A3" s="11" t="s">
        <v>48</v>
      </c>
      <c r="B3" s="11" t="s">
        <v>49</v>
      </c>
      <c r="C3" s="11" t="s">
        <v>36</v>
      </c>
      <c r="D3" s="22">
        <v>36130</v>
      </c>
      <c r="E3" s="11" t="s">
        <v>50</v>
      </c>
      <c r="F3" s="11" t="s">
        <v>38</v>
      </c>
      <c r="G3" s="24"/>
      <c r="H3" s="11" t="s">
        <v>51</v>
      </c>
      <c r="I3" s="11" t="s">
        <v>41</v>
      </c>
      <c r="J3" s="24">
        <v>708120557</v>
      </c>
      <c r="K3" s="11" t="s">
        <v>42</v>
      </c>
      <c r="L3" s="11" t="s">
        <v>43</v>
      </c>
      <c r="M3" s="11" t="s">
        <v>44</v>
      </c>
      <c r="N3" s="11" t="s">
        <v>45</v>
      </c>
      <c r="O3" s="11" t="s">
        <v>46</v>
      </c>
      <c r="P3" s="11" t="s">
        <v>46</v>
      </c>
      <c r="Q3" s="11" t="s">
        <v>47</v>
      </c>
    </row>
    <row r="4" spans="1:17">
      <c r="A4" s="11" t="s">
        <v>52</v>
      </c>
      <c r="B4" s="11" t="s">
        <v>53</v>
      </c>
      <c r="C4" s="11" t="s">
        <v>36</v>
      </c>
      <c r="D4" s="22">
        <v>32818</v>
      </c>
      <c r="E4" s="11" t="s">
        <v>54</v>
      </c>
      <c r="F4" s="11" t="s">
        <v>38</v>
      </c>
      <c r="G4" s="24"/>
      <c r="H4" s="11" t="s">
        <v>55</v>
      </c>
      <c r="I4" s="11" t="s">
        <v>41</v>
      </c>
      <c r="J4" s="24">
        <v>704013538</v>
      </c>
      <c r="K4" s="11" t="s">
        <v>42</v>
      </c>
      <c r="L4" s="11" t="s">
        <v>43</v>
      </c>
      <c r="M4" s="11" t="s">
        <v>44</v>
      </c>
      <c r="N4" s="11" t="s">
        <v>45</v>
      </c>
      <c r="O4" s="11" t="s">
        <v>46</v>
      </c>
      <c r="P4" s="11" t="s">
        <v>46</v>
      </c>
      <c r="Q4" s="11" t="s">
        <v>47</v>
      </c>
    </row>
    <row r="5" spans="1:17">
      <c r="A5" s="11" t="s">
        <v>56</v>
      </c>
      <c r="B5" s="11" t="s">
        <v>57</v>
      </c>
      <c r="C5" s="11" t="s">
        <v>36</v>
      </c>
      <c r="D5" s="22">
        <v>34666</v>
      </c>
      <c r="E5" s="11" t="s">
        <v>58</v>
      </c>
      <c r="F5" s="11" t="s">
        <v>38</v>
      </c>
      <c r="G5" s="24"/>
      <c r="H5" s="11" t="s">
        <v>59</v>
      </c>
      <c r="I5" s="11" t="s">
        <v>41</v>
      </c>
      <c r="J5" s="24">
        <v>704621286</v>
      </c>
      <c r="K5" s="11" t="s">
        <v>42</v>
      </c>
      <c r="L5" s="11" t="s">
        <v>43</v>
      </c>
      <c r="M5" s="11" t="s">
        <v>44</v>
      </c>
      <c r="N5" s="11" t="s">
        <v>45</v>
      </c>
      <c r="O5" s="11" t="s">
        <v>46</v>
      </c>
      <c r="P5" s="11" t="s">
        <v>46</v>
      </c>
      <c r="Q5" s="11" t="s">
        <v>47</v>
      </c>
    </row>
    <row r="6" spans="1:17">
      <c r="A6" s="11" t="s">
        <v>60</v>
      </c>
      <c r="B6" s="11" t="s">
        <v>61</v>
      </c>
      <c r="C6" s="11" t="s">
        <v>36</v>
      </c>
      <c r="D6" s="22">
        <v>36302</v>
      </c>
      <c r="E6" s="11" t="s">
        <v>62</v>
      </c>
      <c r="F6" s="11" t="s">
        <v>38</v>
      </c>
      <c r="G6" s="24"/>
      <c r="H6" s="11" t="s">
        <v>63</v>
      </c>
      <c r="I6" s="11" t="s">
        <v>41</v>
      </c>
      <c r="J6" s="24">
        <v>707967132</v>
      </c>
      <c r="K6" s="11" t="s">
        <v>42</v>
      </c>
      <c r="L6" s="11" t="s">
        <v>43</v>
      </c>
      <c r="M6" s="11" t="s">
        <v>44</v>
      </c>
      <c r="N6" s="11" t="s">
        <v>45</v>
      </c>
      <c r="O6" s="11" t="s">
        <v>46</v>
      </c>
      <c r="P6" s="11" t="s">
        <v>46</v>
      </c>
      <c r="Q6" s="11" t="s">
        <v>47</v>
      </c>
    </row>
    <row r="7" spans="1:17">
      <c r="A7" s="11" t="s">
        <v>64</v>
      </c>
      <c r="B7" s="11" t="s">
        <v>65</v>
      </c>
      <c r="C7" s="11" t="s">
        <v>66</v>
      </c>
      <c r="D7" s="22">
        <v>37291</v>
      </c>
      <c r="E7" s="11" t="s">
        <v>67</v>
      </c>
      <c r="F7" s="11" t="s">
        <v>68</v>
      </c>
      <c r="G7" s="24"/>
      <c r="H7" s="11" t="s">
        <v>69</v>
      </c>
      <c r="I7" s="11" t="s">
        <v>41</v>
      </c>
      <c r="J7" s="24">
        <v>708651309</v>
      </c>
      <c r="K7" s="11" t="s">
        <v>42</v>
      </c>
      <c r="L7" s="11" t="s">
        <v>43</v>
      </c>
      <c r="M7" s="11" t="s">
        <v>44</v>
      </c>
      <c r="N7" s="11" t="s">
        <v>45</v>
      </c>
      <c r="O7" s="11" t="s">
        <v>46</v>
      </c>
      <c r="P7" s="11" t="s">
        <v>46</v>
      </c>
      <c r="Q7" s="11" t="s">
        <v>47</v>
      </c>
    </row>
    <row r="8" spans="1:17">
      <c r="A8" s="11" t="s">
        <v>70</v>
      </c>
      <c r="B8" s="11" t="s">
        <v>71</v>
      </c>
      <c r="C8" s="11" t="s">
        <v>66</v>
      </c>
      <c r="D8" s="22">
        <v>39702</v>
      </c>
      <c r="E8" s="11" t="s">
        <v>72</v>
      </c>
      <c r="F8" s="11" t="s">
        <v>68</v>
      </c>
      <c r="G8" s="24"/>
      <c r="H8" s="11" t="s">
        <v>73</v>
      </c>
      <c r="I8" s="11" t="s">
        <v>41</v>
      </c>
      <c r="J8" s="24">
        <v>707233556</v>
      </c>
      <c r="K8" s="11" t="s">
        <v>42</v>
      </c>
      <c r="L8" s="11" t="s">
        <v>43</v>
      </c>
      <c r="M8" s="11" t="s">
        <v>44</v>
      </c>
      <c r="N8" s="11" t="s">
        <v>45</v>
      </c>
      <c r="O8" s="11" t="s">
        <v>46</v>
      </c>
      <c r="P8" s="11" t="s">
        <v>46</v>
      </c>
      <c r="Q8" s="11" t="s">
        <v>47</v>
      </c>
    </row>
    <row r="9" spans="1:17">
      <c r="A9" s="11" t="s">
        <v>74</v>
      </c>
      <c r="B9" s="11" t="s">
        <v>75</v>
      </c>
      <c r="C9" s="11" t="s">
        <v>36</v>
      </c>
      <c r="D9" s="22">
        <v>38305</v>
      </c>
      <c r="E9" s="11" t="s">
        <v>76</v>
      </c>
      <c r="F9" s="11" t="s">
        <v>68</v>
      </c>
      <c r="G9" s="24"/>
      <c r="H9" s="11" t="s">
        <v>77</v>
      </c>
      <c r="I9" s="11" t="s">
        <v>41</v>
      </c>
      <c r="J9" s="24">
        <v>702255783</v>
      </c>
      <c r="K9" s="11" t="s">
        <v>42</v>
      </c>
      <c r="L9" s="11" t="s">
        <v>43</v>
      </c>
      <c r="M9" s="11" t="s">
        <v>44</v>
      </c>
      <c r="N9" s="11" t="s">
        <v>45</v>
      </c>
      <c r="O9" s="11" t="s">
        <v>46</v>
      </c>
      <c r="P9" s="11" t="s">
        <v>46</v>
      </c>
      <c r="Q9" s="11" t="s">
        <v>47</v>
      </c>
    </row>
    <row r="10" spans="1:17">
      <c r="A10" s="11" t="s">
        <v>78</v>
      </c>
      <c r="B10" s="11" t="s">
        <v>79</v>
      </c>
      <c r="C10" s="11" t="s">
        <v>66</v>
      </c>
      <c r="D10" s="22">
        <v>37795</v>
      </c>
      <c r="E10" s="11" t="s">
        <v>80</v>
      </c>
      <c r="F10" s="11" t="s">
        <v>68</v>
      </c>
      <c r="G10" s="24"/>
      <c r="H10" s="11" t="s">
        <v>81</v>
      </c>
      <c r="I10" s="11" t="s">
        <v>41</v>
      </c>
      <c r="J10" s="24">
        <v>709491514</v>
      </c>
      <c r="K10" s="11" t="s">
        <v>42</v>
      </c>
      <c r="L10" s="11" t="s">
        <v>43</v>
      </c>
      <c r="M10" s="11" t="s">
        <v>44</v>
      </c>
      <c r="N10" s="11" t="s">
        <v>45</v>
      </c>
      <c r="O10" s="11" t="s">
        <v>46</v>
      </c>
      <c r="P10" s="11" t="s">
        <v>46</v>
      </c>
      <c r="Q10" s="11" t="s">
        <v>47</v>
      </c>
    </row>
    <row r="11" spans="1:17">
      <c r="A11" s="11" t="s">
        <v>82</v>
      </c>
      <c r="B11" s="11" t="s">
        <v>83</v>
      </c>
      <c r="C11" s="11" t="s">
        <v>36</v>
      </c>
      <c r="D11" s="22">
        <v>39275</v>
      </c>
      <c r="E11" s="11">
        <v>71720062</v>
      </c>
      <c r="F11" s="11" t="s">
        <v>68</v>
      </c>
      <c r="G11" s="24"/>
      <c r="H11" s="11" t="s">
        <v>84</v>
      </c>
      <c r="I11" s="11" t="s">
        <v>85</v>
      </c>
      <c r="J11" s="24">
        <v>79954719</v>
      </c>
      <c r="K11" s="11" t="s">
        <v>42</v>
      </c>
      <c r="L11" s="11" t="s">
        <v>43</v>
      </c>
      <c r="M11" s="11" t="s">
        <v>44</v>
      </c>
      <c r="N11" s="11" t="s">
        <v>45</v>
      </c>
      <c r="O11" s="11" t="s">
        <v>46</v>
      </c>
      <c r="P11" s="11" t="s">
        <v>46</v>
      </c>
      <c r="Q11" s="11" t="s">
        <v>47</v>
      </c>
    </row>
  </sheetData>
  <hyperlinks>
    <hyperlink ref="G2" r:id="rId1" xr:uid="{00000000-0004-0000-0100-000000000000}"/>
  </hyperlinks>
  <pageMargins left="0.75" right="0.75" top="1" bottom="1" header="0.5" footer="0.5"/>
  <pageSetup paperSize="9" orientation="portrait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"/>
  <sheetViews>
    <sheetView topLeftCell="I1" workbookViewId="0">
      <selection activeCell="O2" sqref="O2"/>
    </sheetView>
  </sheetViews>
  <sheetFormatPr defaultColWidth="9" defaultRowHeight="15"/>
  <cols>
    <col min="1" max="1" width="14.28515625" customWidth="1"/>
    <col min="2" max="2" width="11.42578125" customWidth="1"/>
    <col min="3" max="3" width="22.140625" customWidth="1"/>
    <col min="4" max="4" width="10.5703125" customWidth="1"/>
    <col min="5" max="5" width="19" customWidth="1"/>
    <col min="6" max="6" width="17.85546875" customWidth="1"/>
    <col min="7" max="7" width="12" customWidth="1"/>
    <col min="8" max="8" width="19.42578125" customWidth="1"/>
    <col min="9" max="9" width="17" customWidth="1"/>
    <col min="10" max="10" width="19.42578125" customWidth="1"/>
    <col min="11" max="11" width="16.42578125" customWidth="1"/>
    <col min="12" max="12" width="20.140625" customWidth="1"/>
    <col min="13" max="13" width="14.5703125" customWidth="1"/>
    <col min="14" max="14" width="28.5703125" customWidth="1"/>
    <col min="15" max="15" width="18.140625" customWidth="1"/>
    <col min="16" max="16" width="20.85546875" customWidth="1"/>
    <col min="17" max="17" width="22.42578125" customWidth="1"/>
    <col min="18" max="18" width="18.42578125" customWidth="1"/>
    <col min="19" max="19" width="19.7109375" customWidth="1"/>
  </cols>
  <sheetData>
    <row r="1" spans="1:20" ht="30" customHeight="1">
      <c r="A1" s="18" t="s">
        <v>86</v>
      </c>
      <c r="B1" s="18" t="s">
        <v>87</v>
      </c>
      <c r="C1" s="18" t="s">
        <v>88</v>
      </c>
      <c r="D1" s="18" t="s">
        <v>89</v>
      </c>
      <c r="E1" s="18" t="s">
        <v>90</v>
      </c>
      <c r="F1" s="18" t="s">
        <v>91</v>
      </c>
      <c r="G1" s="18" t="s">
        <v>92</v>
      </c>
      <c r="H1" s="18" t="s">
        <v>93</v>
      </c>
      <c r="I1" s="18" t="s">
        <v>94</v>
      </c>
      <c r="J1" s="18" t="s">
        <v>95</v>
      </c>
      <c r="K1" s="18" t="s">
        <v>96</v>
      </c>
      <c r="L1" s="18" t="s">
        <v>97</v>
      </c>
      <c r="M1" s="18" t="s">
        <v>98</v>
      </c>
      <c r="N1" s="18" t="s">
        <v>99</v>
      </c>
      <c r="O1" s="18" t="s">
        <v>100</v>
      </c>
      <c r="P1" s="18" t="s">
        <v>101</v>
      </c>
      <c r="Q1" s="18" t="s">
        <v>102</v>
      </c>
      <c r="R1" s="18" t="s">
        <v>103</v>
      </c>
      <c r="S1" s="18" t="s">
        <v>104</v>
      </c>
      <c r="T1" s="19"/>
    </row>
    <row r="2" spans="1:20">
      <c r="A2" s="14" t="s">
        <v>105</v>
      </c>
      <c r="B2" s="14" t="s">
        <v>34</v>
      </c>
      <c r="C2" s="14" t="s">
        <v>106</v>
      </c>
      <c r="D2" s="14">
        <v>1000</v>
      </c>
      <c r="E2" s="14" t="s">
        <v>107</v>
      </c>
      <c r="F2" s="20">
        <v>46023</v>
      </c>
      <c r="G2" s="14" t="s">
        <v>46</v>
      </c>
      <c r="H2" s="14" t="s">
        <v>47</v>
      </c>
      <c r="I2" s="14" t="s">
        <v>108</v>
      </c>
      <c r="J2" s="14">
        <v>1000</v>
      </c>
      <c r="K2" s="14">
        <v>2026</v>
      </c>
      <c r="L2" s="14">
        <v>2026</v>
      </c>
      <c r="M2" s="14">
        <v>0.5</v>
      </c>
      <c r="N2" s="14">
        <v>4</v>
      </c>
      <c r="O2" s="14">
        <f>J2*(1+M2)</f>
        <v>1500</v>
      </c>
      <c r="P2" s="14">
        <f>O2/N2</f>
        <v>375</v>
      </c>
      <c r="Q2" s="14"/>
      <c r="R2" s="14"/>
      <c r="S2" s="14"/>
    </row>
    <row r="3" spans="1:20">
      <c r="A3" s="11" t="s">
        <v>109</v>
      </c>
      <c r="B3" s="11" t="s">
        <v>48</v>
      </c>
      <c r="C3" s="11" t="s">
        <v>106</v>
      </c>
      <c r="D3" s="11">
        <v>500</v>
      </c>
      <c r="E3" s="11" t="s">
        <v>110</v>
      </c>
      <c r="F3" s="16">
        <v>46023</v>
      </c>
      <c r="G3" s="11" t="s">
        <v>46</v>
      </c>
      <c r="H3" s="11" t="s">
        <v>47</v>
      </c>
      <c r="I3" s="11" t="s">
        <v>108</v>
      </c>
      <c r="J3" s="11">
        <v>500</v>
      </c>
      <c r="K3" s="16">
        <v>46024</v>
      </c>
      <c r="L3" s="16">
        <v>46025</v>
      </c>
      <c r="M3" s="11">
        <v>0.2</v>
      </c>
      <c r="N3" s="11">
        <v>1</v>
      </c>
      <c r="O3" s="11">
        <v>600</v>
      </c>
      <c r="P3" s="11">
        <v>600</v>
      </c>
      <c r="Q3" s="16">
        <v>46039</v>
      </c>
      <c r="R3" s="11" t="s">
        <v>111</v>
      </c>
      <c r="S3" s="11" t="s">
        <v>112</v>
      </c>
    </row>
    <row r="4" spans="1:20">
      <c r="A4" s="11" t="s">
        <v>113</v>
      </c>
      <c r="B4" s="11" t="s">
        <v>52</v>
      </c>
      <c r="C4" s="11" t="s">
        <v>106</v>
      </c>
      <c r="D4" s="11">
        <v>1500</v>
      </c>
      <c r="E4" s="11" t="s">
        <v>110</v>
      </c>
      <c r="F4" s="16">
        <v>46023</v>
      </c>
      <c r="G4" s="11" t="s">
        <v>46</v>
      </c>
      <c r="H4" s="11" t="s">
        <v>47</v>
      </c>
      <c r="I4" s="11" t="s">
        <v>108</v>
      </c>
      <c r="J4" s="11">
        <v>1500</v>
      </c>
      <c r="K4" s="16">
        <v>46024</v>
      </c>
      <c r="L4" s="16">
        <v>46025</v>
      </c>
      <c r="M4" s="11">
        <v>0.2</v>
      </c>
      <c r="N4" s="11">
        <v>1</v>
      </c>
      <c r="O4" s="11">
        <v>1800</v>
      </c>
      <c r="P4" s="11">
        <v>1800</v>
      </c>
      <c r="Q4" s="16">
        <v>46039</v>
      </c>
      <c r="R4" s="11" t="s">
        <v>111</v>
      </c>
      <c r="S4" s="11" t="s">
        <v>112</v>
      </c>
    </row>
    <row r="5" spans="1:20">
      <c r="A5" s="11" t="s">
        <v>114</v>
      </c>
      <c r="B5" s="11" t="s">
        <v>56</v>
      </c>
      <c r="C5" s="11" t="s">
        <v>106</v>
      </c>
      <c r="D5" s="11">
        <v>800</v>
      </c>
      <c r="E5" s="11" t="s">
        <v>110</v>
      </c>
      <c r="F5" s="16">
        <v>46023</v>
      </c>
      <c r="G5" s="11" t="s">
        <v>46</v>
      </c>
      <c r="H5" s="11" t="s">
        <v>47</v>
      </c>
      <c r="I5" s="11" t="s">
        <v>108</v>
      </c>
      <c r="J5" s="11">
        <v>800</v>
      </c>
      <c r="K5" s="16">
        <v>46024</v>
      </c>
      <c r="L5" s="16">
        <v>46025</v>
      </c>
      <c r="M5" s="11">
        <v>0.4</v>
      </c>
      <c r="N5" s="11">
        <v>3</v>
      </c>
      <c r="O5" s="11">
        <v>1120</v>
      </c>
      <c r="P5" s="11">
        <v>373.33333333333297</v>
      </c>
      <c r="Q5" s="16">
        <v>46039</v>
      </c>
      <c r="R5" s="11" t="s">
        <v>111</v>
      </c>
      <c r="S5" s="11" t="s">
        <v>112</v>
      </c>
    </row>
    <row r="6" spans="1:20">
      <c r="A6" s="11" t="s">
        <v>115</v>
      </c>
      <c r="B6" s="11" t="s">
        <v>60</v>
      </c>
      <c r="C6" s="11" t="s">
        <v>106</v>
      </c>
      <c r="D6" s="11">
        <v>500</v>
      </c>
      <c r="E6" s="11" t="s">
        <v>110</v>
      </c>
      <c r="F6" s="16">
        <v>46023</v>
      </c>
      <c r="G6" s="11" t="s">
        <v>46</v>
      </c>
      <c r="H6" s="11" t="s">
        <v>47</v>
      </c>
      <c r="I6" s="11" t="s">
        <v>108</v>
      </c>
      <c r="J6" s="11">
        <v>500</v>
      </c>
      <c r="K6" s="16">
        <v>46024</v>
      </c>
      <c r="L6" s="16">
        <v>46025</v>
      </c>
      <c r="M6" s="11">
        <v>0.3</v>
      </c>
      <c r="N6" s="11">
        <v>2</v>
      </c>
      <c r="O6" s="11">
        <v>650</v>
      </c>
      <c r="P6" s="11">
        <v>325</v>
      </c>
      <c r="Q6" s="16">
        <v>46039</v>
      </c>
      <c r="R6" s="11" t="s">
        <v>111</v>
      </c>
      <c r="S6" s="11" t="s">
        <v>112</v>
      </c>
    </row>
    <row r="7" spans="1:20">
      <c r="A7" s="11" t="s">
        <v>116</v>
      </c>
      <c r="B7" s="11" t="s">
        <v>64</v>
      </c>
      <c r="C7" s="11" t="s">
        <v>106</v>
      </c>
      <c r="D7" s="11">
        <v>2500</v>
      </c>
      <c r="E7" s="11" t="s">
        <v>110</v>
      </c>
      <c r="F7" s="16">
        <v>46023</v>
      </c>
      <c r="G7" s="11" t="s">
        <v>46</v>
      </c>
      <c r="H7" s="11" t="s">
        <v>47</v>
      </c>
      <c r="I7" s="11" t="s">
        <v>108</v>
      </c>
      <c r="J7" s="11">
        <v>2500</v>
      </c>
      <c r="K7" s="16">
        <v>46024</v>
      </c>
      <c r="L7" s="16">
        <v>46025</v>
      </c>
      <c r="M7" s="11">
        <v>0.3</v>
      </c>
      <c r="N7" s="11">
        <v>2</v>
      </c>
      <c r="O7" s="11">
        <v>3250</v>
      </c>
      <c r="P7" s="11">
        <v>1625</v>
      </c>
      <c r="Q7" s="16">
        <v>46039</v>
      </c>
      <c r="R7" s="11" t="s">
        <v>111</v>
      </c>
      <c r="S7" s="11" t="s">
        <v>112</v>
      </c>
    </row>
    <row r="8" spans="1:20">
      <c r="A8" s="11" t="s">
        <v>117</v>
      </c>
      <c r="B8" s="11" t="s">
        <v>70</v>
      </c>
      <c r="C8" s="11" t="s">
        <v>106</v>
      </c>
      <c r="D8" s="11">
        <v>1500</v>
      </c>
      <c r="E8" s="11" t="s">
        <v>110</v>
      </c>
      <c r="F8" s="16">
        <v>46023</v>
      </c>
      <c r="G8" s="11" t="s">
        <v>46</v>
      </c>
      <c r="H8" s="11" t="s">
        <v>47</v>
      </c>
      <c r="I8" s="11" t="s">
        <v>108</v>
      </c>
      <c r="J8" s="11">
        <v>1500</v>
      </c>
      <c r="K8" s="16">
        <v>46024</v>
      </c>
      <c r="L8" s="16">
        <v>46025</v>
      </c>
      <c r="M8" s="11">
        <v>0.5</v>
      </c>
      <c r="N8" s="11">
        <v>4</v>
      </c>
      <c r="O8" s="11">
        <v>2250</v>
      </c>
      <c r="P8" s="11">
        <v>562.5</v>
      </c>
      <c r="Q8" s="16">
        <v>46039</v>
      </c>
      <c r="R8" s="11" t="s">
        <v>111</v>
      </c>
      <c r="S8" s="11" t="s">
        <v>112</v>
      </c>
    </row>
    <row r="9" spans="1:20">
      <c r="A9" s="11" t="s">
        <v>118</v>
      </c>
      <c r="B9" s="11" t="s">
        <v>74</v>
      </c>
      <c r="C9" s="11" t="s">
        <v>106</v>
      </c>
      <c r="D9" s="11">
        <v>800</v>
      </c>
      <c r="E9" s="11" t="s">
        <v>110</v>
      </c>
      <c r="F9" s="16">
        <v>46023</v>
      </c>
      <c r="G9" s="11" t="s">
        <v>46</v>
      </c>
      <c r="H9" s="11" t="s">
        <v>47</v>
      </c>
      <c r="I9" s="11" t="s">
        <v>108</v>
      </c>
      <c r="J9" s="11">
        <v>800</v>
      </c>
      <c r="K9" s="16">
        <v>46024</v>
      </c>
      <c r="L9" s="16">
        <v>46025</v>
      </c>
      <c r="M9" s="11">
        <v>0.4</v>
      </c>
      <c r="N9" s="11">
        <v>3</v>
      </c>
      <c r="O9" s="11">
        <v>1120</v>
      </c>
      <c r="P9" s="11">
        <v>373.33333333333297</v>
      </c>
      <c r="Q9" s="16">
        <v>46039</v>
      </c>
      <c r="R9" s="11" t="s">
        <v>111</v>
      </c>
      <c r="S9" s="11" t="s">
        <v>112</v>
      </c>
    </row>
    <row r="10" spans="1:20">
      <c r="A10" s="11" t="s">
        <v>119</v>
      </c>
      <c r="B10" s="11" t="s">
        <v>78</v>
      </c>
      <c r="C10" s="11" t="s">
        <v>106</v>
      </c>
      <c r="D10" s="11">
        <v>500</v>
      </c>
      <c r="E10" s="11" t="s">
        <v>110</v>
      </c>
      <c r="F10" s="16">
        <v>46023</v>
      </c>
      <c r="G10" s="11" t="s">
        <v>46</v>
      </c>
      <c r="H10" s="11" t="s">
        <v>47</v>
      </c>
      <c r="I10" s="11" t="s">
        <v>108</v>
      </c>
      <c r="J10" s="11">
        <v>500</v>
      </c>
      <c r="K10" s="16">
        <v>46024</v>
      </c>
      <c r="L10" s="16">
        <v>46025</v>
      </c>
      <c r="M10" s="11">
        <v>0.2</v>
      </c>
      <c r="N10" s="11">
        <v>1</v>
      </c>
      <c r="O10" s="11">
        <v>600</v>
      </c>
      <c r="P10" s="11">
        <v>600</v>
      </c>
      <c r="Q10" s="16">
        <v>46039</v>
      </c>
      <c r="R10" s="11" t="s">
        <v>111</v>
      </c>
      <c r="S10" s="11" t="s">
        <v>112</v>
      </c>
    </row>
    <row r="11" spans="1:20">
      <c r="A11" s="11" t="s">
        <v>120</v>
      </c>
      <c r="B11" s="11" t="s">
        <v>82</v>
      </c>
      <c r="C11" s="11" t="s">
        <v>106</v>
      </c>
      <c r="D11" s="11">
        <v>500</v>
      </c>
      <c r="E11" s="11" t="s">
        <v>110</v>
      </c>
      <c r="F11" s="16">
        <v>46023</v>
      </c>
      <c r="G11" s="11" t="s">
        <v>121</v>
      </c>
      <c r="H11" s="11" t="s">
        <v>47</v>
      </c>
      <c r="I11" s="11" t="s">
        <v>108</v>
      </c>
      <c r="J11" s="11">
        <v>500</v>
      </c>
      <c r="K11" s="16">
        <v>46024</v>
      </c>
      <c r="L11" s="16">
        <v>46025</v>
      </c>
      <c r="M11" s="11">
        <v>0.2</v>
      </c>
      <c r="N11" s="11">
        <v>1</v>
      </c>
      <c r="O11" s="11">
        <v>600</v>
      </c>
      <c r="P11" s="11">
        <v>600</v>
      </c>
      <c r="Q11" s="16">
        <v>42761</v>
      </c>
      <c r="R11" s="11" t="s">
        <v>111</v>
      </c>
      <c r="S11" s="11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"/>
  <sheetViews>
    <sheetView workbookViewId="0">
      <selection activeCell="C1" sqref="C1:C11"/>
    </sheetView>
  </sheetViews>
  <sheetFormatPr defaultColWidth="9" defaultRowHeight="15"/>
  <cols>
    <col min="1" max="1" width="15.5703125" customWidth="1"/>
    <col min="2" max="2" width="14.5703125" customWidth="1"/>
    <col min="3" max="3" width="16.28515625" customWidth="1"/>
    <col min="4" max="4" width="17.140625" customWidth="1"/>
    <col min="5" max="5" width="15.85546875" customWidth="1"/>
    <col min="6" max="6" width="14.5703125" customWidth="1"/>
    <col min="7" max="7" width="18.5703125" customWidth="1"/>
    <col min="8" max="8" width="17.5703125" customWidth="1"/>
    <col min="9" max="9" width="11.28515625" customWidth="1"/>
    <col min="10" max="10" width="19.42578125" customWidth="1"/>
    <col min="12" max="13" width="11" customWidth="1"/>
  </cols>
  <sheetData>
    <row r="1" spans="1:12" ht="30" customHeight="1">
      <c r="A1" s="15" t="s">
        <v>122</v>
      </c>
      <c r="B1" s="15" t="s">
        <v>86</v>
      </c>
      <c r="C1" s="15" t="s">
        <v>123</v>
      </c>
      <c r="D1" s="15" t="s">
        <v>124</v>
      </c>
      <c r="E1" s="15" t="s">
        <v>125</v>
      </c>
      <c r="F1" s="15" t="s">
        <v>126</v>
      </c>
      <c r="G1" s="15" t="s">
        <v>127</v>
      </c>
      <c r="H1" s="15" t="s">
        <v>128</v>
      </c>
      <c r="I1" s="15" t="s">
        <v>129</v>
      </c>
      <c r="J1" s="15" t="s">
        <v>104</v>
      </c>
      <c r="K1" t="s">
        <v>0</v>
      </c>
      <c r="L1" t="s">
        <v>1</v>
      </c>
    </row>
    <row r="2" spans="1:12">
      <c r="A2" s="11" t="s">
        <v>130</v>
      </c>
      <c r="B2" s="11" t="s">
        <v>105</v>
      </c>
      <c r="C2" s="16">
        <v>46039</v>
      </c>
      <c r="D2" s="11">
        <v>375</v>
      </c>
      <c r="E2" s="11">
        <v>375</v>
      </c>
      <c r="F2" s="11" t="s">
        <v>45</v>
      </c>
      <c r="G2" s="16">
        <v>46039</v>
      </c>
      <c r="H2" s="11" t="s">
        <v>131</v>
      </c>
      <c r="I2" s="11">
        <v>0</v>
      </c>
      <c r="J2" s="11" t="s">
        <v>112</v>
      </c>
      <c r="K2" s="11"/>
    </row>
    <row r="3" spans="1:12">
      <c r="A3" s="11" t="s">
        <v>132</v>
      </c>
      <c r="B3" s="11" t="s">
        <v>109</v>
      </c>
      <c r="C3" s="16">
        <v>46039</v>
      </c>
      <c r="D3" s="11">
        <v>600</v>
      </c>
      <c r="E3" s="11">
        <v>600</v>
      </c>
      <c r="F3" s="11" t="s">
        <v>45</v>
      </c>
      <c r="G3" s="16">
        <v>46039</v>
      </c>
      <c r="H3" s="11" t="s">
        <v>133</v>
      </c>
      <c r="I3" s="11">
        <v>0</v>
      </c>
      <c r="J3" s="11" t="s">
        <v>112</v>
      </c>
      <c r="K3" s="11"/>
    </row>
    <row r="4" spans="1:12">
      <c r="A4" s="11" t="s">
        <v>134</v>
      </c>
      <c r="B4" s="11" t="s">
        <v>113</v>
      </c>
      <c r="C4" s="16">
        <v>46039</v>
      </c>
      <c r="D4" s="11">
        <v>1800</v>
      </c>
      <c r="E4" s="11">
        <v>1800</v>
      </c>
      <c r="F4" s="11" t="s">
        <v>45</v>
      </c>
      <c r="G4" s="16">
        <v>46039</v>
      </c>
      <c r="H4" s="11" t="s">
        <v>133</v>
      </c>
      <c r="I4" s="11">
        <v>0</v>
      </c>
      <c r="J4" s="11" t="s">
        <v>112</v>
      </c>
      <c r="K4" s="11"/>
    </row>
    <row r="5" spans="1:12">
      <c r="A5" s="11" t="s">
        <v>135</v>
      </c>
      <c r="B5" s="11" t="s">
        <v>114</v>
      </c>
      <c r="C5" s="16">
        <v>46053</v>
      </c>
      <c r="D5" s="11">
        <v>373.33333333333297</v>
      </c>
      <c r="E5" s="11">
        <v>373.33333329999999</v>
      </c>
      <c r="F5" s="11" t="s">
        <v>45</v>
      </c>
      <c r="G5" s="17">
        <v>46039</v>
      </c>
      <c r="H5" s="11" t="s">
        <v>131</v>
      </c>
      <c r="I5" s="11">
        <v>0</v>
      </c>
      <c r="J5" s="11" t="s">
        <v>112</v>
      </c>
      <c r="K5" s="11"/>
    </row>
    <row r="6" spans="1:12">
      <c r="A6" s="11" t="s">
        <v>136</v>
      </c>
      <c r="B6" s="11" t="s">
        <v>115</v>
      </c>
      <c r="C6" s="16">
        <v>46067</v>
      </c>
      <c r="D6" s="11">
        <v>325</v>
      </c>
      <c r="E6" s="11">
        <v>325</v>
      </c>
      <c r="F6" s="11" t="s">
        <v>45</v>
      </c>
      <c r="G6" s="17">
        <v>42761</v>
      </c>
      <c r="H6" s="11" t="s">
        <v>131</v>
      </c>
      <c r="I6" s="11">
        <v>0</v>
      </c>
      <c r="J6" s="11" t="s">
        <v>112</v>
      </c>
      <c r="K6" s="11"/>
    </row>
    <row r="7" spans="1:12">
      <c r="A7" s="11" t="s">
        <v>137</v>
      </c>
      <c r="B7" s="11" t="s">
        <v>116</v>
      </c>
      <c r="C7" s="16">
        <v>46039</v>
      </c>
      <c r="D7" s="11">
        <v>1625</v>
      </c>
      <c r="E7" s="11">
        <v>1625</v>
      </c>
      <c r="F7" s="11" t="s">
        <v>45</v>
      </c>
      <c r="G7" s="16">
        <v>46039</v>
      </c>
      <c r="H7" s="11" t="s">
        <v>133</v>
      </c>
      <c r="I7" s="11">
        <v>0</v>
      </c>
      <c r="J7" s="11" t="s">
        <v>112</v>
      </c>
      <c r="K7" s="11"/>
    </row>
    <row r="8" spans="1:12">
      <c r="A8" s="11" t="s">
        <v>138</v>
      </c>
      <c r="B8" s="11" t="s">
        <v>117</v>
      </c>
      <c r="C8" s="16">
        <v>46053</v>
      </c>
      <c r="D8" s="11">
        <v>562.5</v>
      </c>
      <c r="E8" s="11">
        <v>562.5</v>
      </c>
      <c r="F8" s="11" t="s">
        <v>45</v>
      </c>
      <c r="G8" s="17">
        <v>46039</v>
      </c>
      <c r="H8" s="11" t="s">
        <v>131</v>
      </c>
      <c r="I8" s="11">
        <v>0</v>
      </c>
      <c r="J8" s="11" t="s">
        <v>112</v>
      </c>
      <c r="K8" s="11"/>
    </row>
    <row r="9" spans="1:12">
      <c r="A9" s="11" t="s">
        <v>139</v>
      </c>
      <c r="B9" s="11" t="s">
        <v>118</v>
      </c>
      <c r="C9" s="16">
        <v>46039</v>
      </c>
      <c r="D9" s="11">
        <v>373.33333329999999</v>
      </c>
      <c r="E9" s="11">
        <v>1625</v>
      </c>
      <c r="F9" s="11" t="s">
        <v>45</v>
      </c>
      <c r="G9" s="16">
        <v>46039</v>
      </c>
      <c r="H9" s="11" t="s">
        <v>131</v>
      </c>
      <c r="I9" s="11">
        <v>0</v>
      </c>
      <c r="J9" s="11" t="s">
        <v>112</v>
      </c>
      <c r="K9" s="11"/>
    </row>
    <row r="10" spans="1:12">
      <c r="A10" s="11" t="s">
        <v>140</v>
      </c>
      <c r="B10" s="11" t="s">
        <v>119</v>
      </c>
      <c r="C10" s="16">
        <v>46053</v>
      </c>
      <c r="D10" s="11">
        <v>600</v>
      </c>
      <c r="E10" s="11">
        <v>600</v>
      </c>
      <c r="F10" s="11" t="s">
        <v>45</v>
      </c>
      <c r="G10" s="17">
        <v>46039</v>
      </c>
      <c r="H10" s="11" t="s">
        <v>133</v>
      </c>
      <c r="I10" s="11">
        <v>0</v>
      </c>
      <c r="J10" s="11" t="s">
        <v>112</v>
      </c>
      <c r="K10" s="11"/>
    </row>
    <row r="11" spans="1:12">
      <c r="A11" s="11" t="s">
        <v>141</v>
      </c>
      <c r="B11" s="11" t="s">
        <v>120</v>
      </c>
      <c r="C11" s="16">
        <v>46053</v>
      </c>
      <c r="D11" s="11">
        <v>600</v>
      </c>
      <c r="E11" s="11">
        <v>600</v>
      </c>
      <c r="F11" s="11" t="s">
        <v>45</v>
      </c>
      <c r="G11" s="17">
        <v>46039</v>
      </c>
      <c r="H11" s="11" t="s">
        <v>133</v>
      </c>
      <c r="I11" s="11">
        <v>0</v>
      </c>
      <c r="J11" s="11"/>
      <c r="K11" s="11"/>
    </row>
    <row r="12" spans="1: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workbookViewId="0">
      <selection activeCell="F5" sqref="F5"/>
    </sheetView>
  </sheetViews>
  <sheetFormatPr defaultColWidth="9" defaultRowHeight="15"/>
  <cols>
    <col min="1" max="1" width="2.85546875" customWidth="1"/>
    <col min="2" max="2" width="19.28515625" customWidth="1"/>
    <col min="3" max="3" width="23.5703125" customWidth="1"/>
    <col min="4" max="4" width="27.140625" customWidth="1"/>
    <col min="5" max="5" width="31.85546875" customWidth="1"/>
    <col min="6" max="6" width="55.7109375" customWidth="1"/>
  </cols>
  <sheetData>
    <row r="1" spans="1:7">
      <c r="A1" s="12"/>
      <c r="B1" s="12"/>
      <c r="C1" s="12"/>
      <c r="D1" s="12"/>
      <c r="E1" s="12"/>
      <c r="F1" s="12"/>
      <c r="G1" s="12"/>
    </row>
    <row r="2" spans="1:7">
      <c r="B2" t="s">
        <v>0</v>
      </c>
      <c r="C2" t="s">
        <v>1</v>
      </c>
      <c r="D2" t="s">
        <v>2</v>
      </c>
      <c r="E2" t="s">
        <v>3</v>
      </c>
      <c r="F2" t="s">
        <v>142</v>
      </c>
    </row>
    <row r="3" spans="1:7">
      <c r="B3" s="6" t="s">
        <v>143</v>
      </c>
      <c r="C3" s="11" t="s">
        <v>144</v>
      </c>
      <c r="D3" s="11" t="s">
        <v>145</v>
      </c>
      <c r="E3" s="11" t="s">
        <v>104</v>
      </c>
      <c r="F3" t="s">
        <v>146</v>
      </c>
    </row>
    <row r="4" spans="1:7">
      <c r="B4" t="s">
        <v>147</v>
      </c>
      <c r="C4" t="s">
        <v>148</v>
      </c>
      <c r="D4" t="s">
        <v>149</v>
      </c>
      <c r="E4" t="s">
        <v>150</v>
      </c>
      <c r="F4" t="s">
        <v>112</v>
      </c>
    </row>
    <row r="5" spans="1:7">
      <c r="B5" t="s">
        <v>151</v>
      </c>
      <c r="C5" t="s">
        <v>152</v>
      </c>
      <c r="D5" t="s">
        <v>153</v>
      </c>
      <c r="E5" t="s">
        <v>154</v>
      </c>
      <c r="F5" t="s">
        <v>112</v>
      </c>
    </row>
    <row r="6" spans="1:7">
      <c r="B6" t="s">
        <v>155</v>
      </c>
      <c r="C6" t="s">
        <v>156</v>
      </c>
      <c r="D6" t="s">
        <v>157</v>
      </c>
      <c r="E6" t="s">
        <v>158</v>
      </c>
      <c r="F6" t="s">
        <v>159</v>
      </c>
    </row>
    <row r="7" spans="1:7">
      <c r="B7" t="s">
        <v>160</v>
      </c>
      <c r="C7" t="s">
        <v>148</v>
      </c>
      <c r="D7" t="s">
        <v>149</v>
      </c>
      <c r="E7" t="s">
        <v>161</v>
      </c>
      <c r="F7" t="s">
        <v>162</v>
      </c>
    </row>
    <row r="8" spans="1:7">
      <c r="B8" t="s">
        <v>163</v>
      </c>
      <c r="C8" t="s">
        <v>148</v>
      </c>
      <c r="D8" t="s">
        <v>164</v>
      </c>
      <c r="E8" t="s">
        <v>165</v>
      </c>
      <c r="F8" t="s">
        <v>112</v>
      </c>
    </row>
    <row r="9" spans="1:7">
      <c r="B9" t="s">
        <v>166</v>
      </c>
      <c r="C9" t="s">
        <v>152</v>
      </c>
      <c r="D9" t="s">
        <v>153</v>
      </c>
      <c r="E9" t="s">
        <v>167</v>
      </c>
      <c r="F9" t="s">
        <v>168</v>
      </c>
    </row>
    <row r="10" spans="1:7">
      <c r="B10" t="s">
        <v>169</v>
      </c>
      <c r="C10" t="s">
        <v>156</v>
      </c>
      <c r="D10" t="s">
        <v>157</v>
      </c>
      <c r="E10" t="s">
        <v>170</v>
      </c>
      <c r="F10" t="s">
        <v>171</v>
      </c>
    </row>
    <row r="11" spans="1:7">
      <c r="B11" t="s">
        <v>172</v>
      </c>
      <c r="C11" t="s">
        <v>148</v>
      </c>
      <c r="D11" t="s">
        <v>149</v>
      </c>
      <c r="E11" t="s">
        <v>173</v>
      </c>
      <c r="F11" t="s">
        <v>112</v>
      </c>
    </row>
    <row r="12" spans="1:7">
      <c r="B12" t="s">
        <v>174</v>
      </c>
      <c r="C12" t="s">
        <v>152</v>
      </c>
      <c r="D12" t="s">
        <v>153</v>
      </c>
      <c r="E12" t="s">
        <v>175</v>
      </c>
      <c r="F12" t="s">
        <v>112</v>
      </c>
    </row>
    <row r="13" spans="1:7">
      <c r="B13" t="s">
        <v>176</v>
      </c>
      <c r="C13" t="s">
        <v>148</v>
      </c>
      <c r="D13" t="s">
        <v>164</v>
      </c>
      <c r="E13" t="s">
        <v>177</v>
      </c>
      <c r="F13" t="s">
        <v>112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8"/>
  <sheetViews>
    <sheetView workbookViewId="0">
      <selection activeCell="E47" sqref="E47"/>
    </sheetView>
  </sheetViews>
  <sheetFormatPr defaultColWidth="9" defaultRowHeight="15"/>
  <cols>
    <col min="1" max="1" width="2" customWidth="1"/>
    <col min="2" max="2" width="17.7109375" customWidth="1"/>
    <col min="3" max="3" width="18.140625" style="11" customWidth="1"/>
    <col min="4" max="4" width="26" customWidth="1"/>
    <col min="5" max="5" width="43.28515625" customWidth="1"/>
    <col min="6" max="6" width="37" customWidth="1"/>
  </cols>
  <sheetData>
    <row r="1" spans="1:6">
      <c r="A1" s="12"/>
      <c r="B1" s="12"/>
      <c r="C1" s="13"/>
      <c r="D1" s="12"/>
      <c r="E1" s="12"/>
    </row>
    <row r="2" spans="1:6">
      <c r="B2" s="14" t="s">
        <v>178</v>
      </c>
      <c r="C2" s="14" t="s">
        <v>98</v>
      </c>
      <c r="D2" s="14" t="s">
        <v>179</v>
      </c>
      <c r="E2" s="14" t="s">
        <v>180</v>
      </c>
      <c r="F2" s="14" t="s">
        <v>100</v>
      </c>
    </row>
    <row r="3" spans="1:6">
      <c r="B3" s="11" t="s">
        <v>181</v>
      </c>
      <c r="C3" s="11">
        <v>0.2</v>
      </c>
      <c r="D3" s="11">
        <v>1</v>
      </c>
      <c r="E3" s="11" t="s">
        <v>182</v>
      </c>
      <c r="F3" s="11" t="s">
        <v>183</v>
      </c>
    </row>
    <row r="4" spans="1:6">
      <c r="B4" s="11" t="s">
        <v>184</v>
      </c>
      <c r="C4" s="11">
        <v>0.2</v>
      </c>
      <c r="D4" s="11">
        <v>1</v>
      </c>
      <c r="E4" s="11" t="s">
        <v>185</v>
      </c>
      <c r="F4" s="11" t="s">
        <v>186</v>
      </c>
    </row>
    <row r="5" spans="1:6">
      <c r="B5" s="11" t="s">
        <v>187</v>
      </c>
      <c r="C5" s="11">
        <v>0.2</v>
      </c>
      <c r="D5" s="11">
        <v>1</v>
      </c>
      <c r="E5" s="11" t="s">
        <v>188</v>
      </c>
      <c r="F5" s="11" t="s">
        <v>189</v>
      </c>
    </row>
    <row r="6" spans="1:6">
      <c r="B6" s="11" t="s">
        <v>187</v>
      </c>
      <c r="C6" s="11">
        <v>0.3</v>
      </c>
      <c r="D6" s="11">
        <v>2</v>
      </c>
      <c r="E6" s="11" t="s">
        <v>190</v>
      </c>
      <c r="F6" s="11" t="s">
        <v>191</v>
      </c>
    </row>
    <row r="7" spans="1:6">
      <c r="B7" s="11" t="s">
        <v>187</v>
      </c>
      <c r="C7" s="11">
        <v>0.4</v>
      </c>
      <c r="D7" s="11">
        <v>3</v>
      </c>
      <c r="E7" s="11" t="s">
        <v>183</v>
      </c>
      <c r="F7" s="11" t="s">
        <v>192</v>
      </c>
    </row>
    <row r="8" spans="1:6">
      <c r="B8" s="11" t="s">
        <v>187</v>
      </c>
      <c r="C8" s="11">
        <v>0.5</v>
      </c>
      <c r="D8" s="11">
        <v>4</v>
      </c>
      <c r="E8" s="11" t="s">
        <v>193</v>
      </c>
      <c r="F8" s="11" t="s">
        <v>194</v>
      </c>
    </row>
    <row r="9" spans="1:6">
      <c r="B9" s="11" t="s">
        <v>195</v>
      </c>
      <c r="C9" s="11">
        <v>0.2</v>
      </c>
      <c r="D9" s="11">
        <v>1</v>
      </c>
      <c r="E9" s="11" t="s">
        <v>196</v>
      </c>
      <c r="F9" s="11" t="s">
        <v>197</v>
      </c>
    </row>
    <row r="10" spans="1:6">
      <c r="B10" s="11" t="s">
        <v>195</v>
      </c>
      <c r="C10" s="11">
        <v>0.3</v>
      </c>
      <c r="D10" s="11">
        <v>2</v>
      </c>
      <c r="E10" s="11" t="s">
        <v>183</v>
      </c>
      <c r="F10" s="11" t="s">
        <v>192</v>
      </c>
    </row>
    <row r="11" spans="1:6">
      <c r="B11" s="11" t="s">
        <v>195</v>
      </c>
      <c r="C11" s="11">
        <v>0.4</v>
      </c>
      <c r="D11" s="11">
        <v>3</v>
      </c>
      <c r="E11" s="11" t="s">
        <v>198</v>
      </c>
      <c r="F11" s="11" t="s">
        <v>199</v>
      </c>
    </row>
    <row r="12" spans="1:6">
      <c r="B12" s="11" t="s">
        <v>195</v>
      </c>
      <c r="C12" s="11">
        <v>0.5</v>
      </c>
      <c r="D12" s="11">
        <v>4</v>
      </c>
      <c r="E12" s="11" t="s">
        <v>184</v>
      </c>
      <c r="F12" s="11" t="s">
        <v>200</v>
      </c>
    </row>
    <row r="13" spans="1:6">
      <c r="B13" s="11" t="s">
        <v>200</v>
      </c>
      <c r="C13" s="11">
        <v>0.2</v>
      </c>
      <c r="D13" s="11">
        <v>1</v>
      </c>
      <c r="E13" s="11" t="s">
        <v>183</v>
      </c>
      <c r="F13" s="11" t="s">
        <v>201</v>
      </c>
    </row>
    <row r="14" spans="1:6">
      <c r="B14" s="11" t="s">
        <v>200</v>
      </c>
      <c r="C14" s="11">
        <v>0.3</v>
      </c>
      <c r="D14" s="11">
        <v>2</v>
      </c>
      <c r="E14" s="11" t="s">
        <v>202</v>
      </c>
      <c r="F14" s="11" t="s">
        <v>203</v>
      </c>
    </row>
    <row r="15" spans="1:6">
      <c r="B15" s="11" t="s">
        <v>200</v>
      </c>
      <c r="C15" s="11">
        <v>0.4</v>
      </c>
      <c r="D15" s="11">
        <v>3</v>
      </c>
      <c r="E15" s="11" t="s">
        <v>186</v>
      </c>
      <c r="F15" s="11" t="s">
        <v>204</v>
      </c>
    </row>
    <row r="16" spans="1:6">
      <c r="B16" s="11" t="s">
        <v>200</v>
      </c>
      <c r="C16" s="11">
        <v>0.5</v>
      </c>
      <c r="D16" s="11">
        <v>4</v>
      </c>
      <c r="E16" s="11" t="s">
        <v>187</v>
      </c>
      <c r="F16" s="11" t="s">
        <v>205</v>
      </c>
    </row>
    <row r="17" spans="2:6">
      <c r="B17" s="11" t="s">
        <v>206</v>
      </c>
      <c r="C17" s="11">
        <v>0.3</v>
      </c>
      <c r="D17" s="11">
        <v>2</v>
      </c>
      <c r="E17" s="11" t="s">
        <v>207</v>
      </c>
      <c r="F17" s="11" t="s">
        <v>208</v>
      </c>
    </row>
    <row r="18" spans="2:6">
      <c r="B18" s="11" t="s">
        <v>206</v>
      </c>
      <c r="C18" s="11">
        <v>0.4</v>
      </c>
      <c r="D18" s="11">
        <v>3</v>
      </c>
      <c r="E18" s="11" t="s">
        <v>209</v>
      </c>
      <c r="F18" s="11" t="s">
        <v>210</v>
      </c>
    </row>
    <row r="19" spans="2:6">
      <c r="B19" s="11" t="s">
        <v>206</v>
      </c>
      <c r="C19" s="11">
        <v>0.5</v>
      </c>
      <c r="D19" s="11">
        <v>4</v>
      </c>
      <c r="E19" s="11" t="s">
        <v>211</v>
      </c>
      <c r="F19" s="11" t="s">
        <v>212</v>
      </c>
    </row>
    <row r="20" spans="2:6">
      <c r="B20" s="11" t="s">
        <v>213</v>
      </c>
      <c r="C20" s="11">
        <v>0.3</v>
      </c>
      <c r="D20" s="11">
        <v>2</v>
      </c>
      <c r="E20" s="11" t="s">
        <v>186</v>
      </c>
      <c r="F20" s="11" t="s">
        <v>214</v>
      </c>
    </row>
    <row r="21" spans="2:6">
      <c r="B21" s="11" t="s">
        <v>213</v>
      </c>
      <c r="C21" s="11">
        <v>0.4</v>
      </c>
      <c r="D21" s="11">
        <v>3</v>
      </c>
      <c r="E21" s="11" t="s">
        <v>215</v>
      </c>
      <c r="F21" s="11" t="s">
        <v>216</v>
      </c>
    </row>
    <row r="22" spans="2:6">
      <c r="B22" s="11" t="s">
        <v>213</v>
      </c>
      <c r="C22" s="11">
        <v>0.5</v>
      </c>
      <c r="D22" s="11">
        <v>4</v>
      </c>
      <c r="E22" s="11" t="s">
        <v>195</v>
      </c>
      <c r="F22" s="11" t="s">
        <v>217</v>
      </c>
    </row>
    <row r="23" spans="2:6">
      <c r="B23" s="11" t="s">
        <v>205</v>
      </c>
      <c r="C23" s="11">
        <v>0.3</v>
      </c>
      <c r="D23" s="11">
        <v>2</v>
      </c>
      <c r="E23" s="11" t="s">
        <v>218</v>
      </c>
      <c r="F23" s="11" t="s">
        <v>219</v>
      </c>
    </row>
    <row r="24" spans="2:6">
      <c r="B24" s="11" t="s">
        <v>205</v>
      </c>
      <c r="C24" s="11">
        <v>0.4</v>
      </c>
      <c r="D24" s="11">
        <v>3</v>
      </c>
      <c r="E24" s="11" t="s">
        <v>189</v>
      </c>
      <c r="F24" s="11" t="s">
        <v>220</v>
      </c>
    </row>
    <row r="25" spans="2:6">
      <c r="B25" s="11" t="s">
        <v>205</v>
      </c>
      <c r="C25" s="11">
        <v>0.5</v>
      </c>
      <c r="D25" s="11">
        <v>4</v>
      </c>
      <c r="E25" s="11" t="s">
        <v>194</v>
      </c>
      <c r="F25" s="11" t="s">
        <v>221</v>
      </c>
    </row>
    <row r="26" spans="2:6">
      <c r="B26" s="11" t="s">
        <v>222</v>
      </c>
      <c r="C26" s="11">
        <v>0.3</v>
      </c>
      <c r="D26" s="11">
        <v>2</v>
      </c>
      <c r="E26" s="11" t="s">
        <v>187</v>
      </c>
      <c r="F26" s="11" t="s">
        <v>223</v>
      </c>
    </row>
    <row r="27" spans="2:6">
      <c r="B27" s="11" t="s">
        <v>222</v>
      </c>
      <c r="C27" s="11">
        <v>0.4</v>
      </c>
      <c r="D27" s="11">
        <v>3</v>
      </c>
      <c r="E27" s="11" t="s">
        <v>195</v>
      </c>
      <c r="F27" s="11" t="s">
        <v>224</v>
      </c>
    </row>
    <row r="28" spans="2:6">
      <c r="B28" s="11" t="s">
        <v>222</v>
      </c>
      <c r="C28" s="11">
        <v>0.5</v>
      </c>
      <c r="D28" s="11">
        <v>4</v>
      </c>
      <c r="E28" s="11" t="s">
        <v>225</v>
      </c>
      <c r="F28" s="11" t="s">
        <v>226</v>
      </c>
    </row>
    <row r="29" spans="2:6">
      <c r="B29" s="11" t="s">
        <v>227</v>
      </c>
      <c r="C29" s="11">
        <v>0.3</v>
      </c>
      <c r="D29" s="11">
        <v>3</v>
      </c>
      <c r="E29" s="11" t="s">
        <v>228</v>
      </c>
      <c r="F29" s="11" t="s">
        <v>229</v>
      </c>
    </row>
    <row r="30" spans="2:6">
      <c r="B30" s="11" t="s">
        <v>217</v>
      </c>
      <c r="C30" s="11">
        <v>0.3</v>
      </c>
      <c r="D30" s="11">
        <v>3</v>
      </c>
      <c r="E30" s="11" t="s">
        <v>183</v>
      </c>
      <c r="F30" s="11" t="s">
        <v>230</v>
      </c>
    </row>
    <row r="31" spans="2:6">
      <c r="B31" s="11" t="s">
        <v>223</v>
      </c>
      <c r="C31" s="11">
        <v>0.3</v>
      </c>
      <c r="D31" s="11">
        <v>3</v>
      </c>
      <c r="E31" s="11" t="s">
        <v>231</v>
      </c>
      <c r="F31" s="11" t="s">
        <v>232</v>
      </c>
    </row>
    <row r="32" spans="2:6">
      <c r="B32" s="11" t="s">
        <v>224</v>
      </c>
      <c r="C32" s="11">
        <v>0.3</v>
      </c>
      <c r="D32" s="11">
        <v>3</v>
      </c>
      <c r="E32" s="11" t="s">
        <v>233</v>
      </c>
      <c r="F32" s="11" t="s">
        <v>234</v>
      </c>
    </row>
    <row r="33" spans="2:6">
      <c r="B33" s="11" t="s">
        <v>226</v>
      </c>
      <c r="C33" s="11">
        <v>0.3</v>
      </c>
      <c r="D33" s="11">
        <v>3</v>
      </c>
      <c r="E33" s="11" t="s">
        <v>193</v>
      </c>
      <c r="F33" s="11" t="s">
        <v>235</v>
      </c>
    </row>
    <row r="34" spans="2:6">
      <c r="B34" s="11" t="s">
        <v>236</v>
      </c>
      <c r="C34" s="11">
        <v>0.3</v>
      </c>
      <c r="D34" s="11">
        <v>3</v>
      </c>
      <c r="E34" s="11" t="s">
        <v>198</v>
      </c>
      <c r="F34" s="11" t="s">
        <v>237</v>
      </c>
    </row>
    <row r="35" spans="2:6">
      <c r="B35" s="11" t="s">
        <v>238</v>
      </c>
      <c r="C35" s="11">
        <v>0.3</v>
      </c>
      <c r="D35" s="11">
        <v>3</v>
      </c>
      <c r="E35" s="11" t="s">
        <v>239</v>
      </c>
      <c r="F35" s="11" t="s">
        <v>240</v>
      </c>
    </row>
    <row r="36" spans="2:6">
      <c r="B36" s="11" t="s">
        <v>241</v>
      </c>
      <c r="C36" s="11">
        <v>0.3</v>
      </c>
      <c r="D36" s="11">
        <v>3</v>
      </c>
      <c r="E36" s="11" t="s">
        <v>202</v>
      </c>
      <c r="F36" s="11" t="s">
        <v>242</v>
      </c>
    </row>
    <row r="37" spans="2:6">
      <c r="B37" s="11" t="s">
        <v>243</v>
      </c>
      <c r="C37" s="11">
        <v>0.3</v>
      </c>
      <c r="D37" s="11">
        <v>3</v>
      </c>
      <c r="E37" s="11" t="s">
        <v>244</v>
      </c>
      <c r="F37" s="11" t="s">
        <v>245</v>
      </c>
    </row>
    <row r="38" spans="2:6">
      <c r="B38" s="11" t="s">
        <v>246</v>
      </c>
      <c r="C38" s="11">
        <v>0.3</v>
      </c>
      <c r="D38" s="11">
        <v>3</v>
      </c>
      <c r="E38" s="11" t="s">
        <v>184</v>
      </c>
      <c r="F38" s="11" t="s">
        <v>247</v>
      </c>
    </row>
    <row r="39" spans="2:6">
      <c r="B39" s="11" t="s">
        <v>248</v>
      </c>
      <c r="C39" s="11">
        <v>0.5</v>
      </c>
      <c r="D39" s="11">
        <v>4</v>
      </c>
      <c r="E39" s="11" t="s">
        <v>249</v>
      </c>
      <c r="F39" s="11" t="s">
        <v>250</v>
      </c>
    </row>
    <row r="40" spans="2:6">
      <c r="B40" s="11" t="s">
        <v>251</v>
      </c>
      <c r="C40" s="11">
        <v>0.5</v>
      </c>
      <c r="D40" s="11">
        <v>4</v>
      </c>
      <c r="E40" s="11" t="s">
        <v>187</v>
      </c>
      <c r="F40" s="11" t="s">
        <v>226</v>
      </c>
    </row>
    <row r="41" spans="2:6">
      <c r="B41" s="11" t="s">
        <v>252</v>
      </c>
      <c r="C41" s="11">
        <v>0.5</v>
      </c>
      <c r="D41" s="11">
        <v>4</v>
      </c>
      <c r="E41" s="11" t="s">
        <v>253</v>
      </c>
      <c r="F41" s="11" t="s">
        <v>254</v>
      </c>
    </row>
    <row r="42" spans="2:6">
      <c r="B42" s="11" t="s">
        <v>255</v>
      </c>
      <c r="C42" s="11">
        <v>0.5</v>
      </c>
      <c r="D42" s="11">
        <v>4</v>
      </c>
      <c r="E42" s="11" t="s">
        <v>211</v>
      </c>
      <c r="F42" s="11" t="s">
        <v>256</v>
      </c>
    </row>
    <row r="43" spans="2:6">
      <c r="B43" s="11" t="s">
        <v>257</v>
      </c>
      <c r="C43" s="11">
        <v>0.5</v>
      </c>
      <c r="D43" s="11">
        <v>4</v>
      </c>
      <c r="E43" s="11" t="s">
        <v>258</v>
      </c>
      <c r="F43" s="11" t="s">
        <v>259</v>
      </c>
    </row>
    <row r="44" spans="2:6">
      <c r="B44" s="11" t="s">
        <v>247</v>
      </c>
      <c r="C44" s="11">
        <v>0.5</v>
      </c>
      <c r="D44" s="11">
        <v>4</v>
      </c>
      <c r="E44" s="11" t="s">
        <v>195</v>
      </c>
      <c r="F44" s="11" t="s">
        <v>246</v>
      </c>
    </row>
    <row r="45" spans="2:6">
      <c r="B45" s="11" t="s">
        <v>260</v>
      </c>
      <c r="C45" s="11">
        <v>0.5</v>
      </c>
      <c r="D45" s="11">
        <v>4</v>
      </c>
      <c r="E45" s="11" t="s">
        <v>261</v>
      </c>
      <c r="F45" s="11" t="s">
        <v>262</v>
      </c>
    </row>
    <row r="46" spans="2:6">
      <c r="B46" s="11" t="s">
        <v>263</v>
      </c>
      <c r="C46" s="11">
        <v>0.5</v>
      </c>
      <c r="D46" s="11">
        <v>4</v>
      </c>
      <c r="E46" s="11" t="s">
        <v>194</v>
      </c>
      <c r="F46" s="11" t="s">
        <v>264</v>
      </c>
    </row>
    <row r="47" spans="2:6">
      <c r="B47" s="11" t="s">
        <v>265</v>
      </c>
      <c r="C47" s="11">
        <v>0.5</v>
      </c>
      <c r="D47" s="11">
        <v>4</v>
      </c>
      <c r="E47" s="11" t="s">
        <v>266</v>
      </c>
      <c r="F47" s="11" t="s">
        <v>267</v>
      </c>
    </row>
    <row r="48" spans="2:6">
      <c r="B48" s="11" t="s">
        <v>268</v>
      </c>
      <c r="C48" s="11">
        <v>0.5</v>
      </c>
      <c r="D48" s="11">
        <v>4</v>
      </c>
      <c r="E48" s="11" t="s">
        <v>225</v>
      </c>
      <c r="F48" s="11" t="s">
        <v>257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1"/>
  <sheetViews>
    <sheetView topLeftCell="L1" workbookViewId="0">
      <selection activeCell="R2" sqref="R2"/>
    </sheetView>
  </sheetViews>
  <sheetFormatPr defaultColWidth="9" defaultRowHeight="15"/>
  <cols>
    <col min="1" max="1" width="7.85546875" customWidth="1"/>
    <col min="2" max="2" width="20.5703125" customWidth="1"/>
    <col min="3" max="3" width="17.85546875" customWidth="1"/>
    <col min="4" max="4" width="12.140625" customWidth="1"/>
    <col min="5" max="5" width="11.42578125" customWidth="1"/>
    <col min="6" max="6" width="9.28515625" customWidth="1"/>
    <col min="7" max="7" width="16.85546875" customWidth="1"/>
    <col min="8" max="8" width="12.85546875" customWidth="1"/>
    <col min="9" max="9" width="10.7109375" customWidth="1"/>
    <col min="10" max="10" width="14.42578125" customWidth="1"/>
    <col min="11" max="11" width="18" customWidth="1"/>
    <col min="12" max="12" width="19" customWidth="1"/>
    <col min="13" max="13" width="21.28515625" customWidth="1"/>
    <col min="14" max="14" width="18.42578125" customWidth="1"/>
    <col min="15" max="15" width="23.42578125" customWidth="1"/>
    <col min="16" max="16" width="11.7109375" customWidth="1"/>
    <col min="17" max="17" width="25.140625" customWidth="1"/>
    <col min="18" max="18" width="20.140625" customWidth="1"/>
    <col min="19" max="19" width="21" customWidth="1"/>
    <col min="20" max="20" width="14" customWidth="1"/>
  </cols>
  <sheetData>
    <row r="1" spans="1:23" ht="30" customHeight="1">
      <c r="A1" s="6" t="s">
        <v>18</v>
      </c>
      <c r="B1" s="6" t="s">
        <v>19</v>
      </c>
      <c r="C1" s="4" t="s">
        <v>269</v>
      </c>
      <c r="D1" s="4" t="s">
        <v>270</v>
      </c>
      <c r="E1" s="4" t="s">
        <v>271</v>
      </c>
      <c r="F1" s="4" t="s">
        <v>272</v>
      </c>
      <c r="G1" s="4" t="s">
        <v>273</v>
      </c>
      <c r="H1" s="4" t="s">
        <v>274</v>
      </c>
      <c r="I1" s="4" t="s">
        <v>275</v>
      </c>
      <c r="J1" s="4" t="s">
        <v>276</v>
      </c>
      <c r="K1" s="4" t="s">
        <v>277</v>
      </c>
      <c r="L1" s="4" t="s">
        <v>278</v>
      </c>
      <c r="M1" s="4" t="s">
        <v>27</v>
      </c>
      <c r="N1" s="4" t="s">
        <v>279</v>
      </c>
      <c r="O1" s="4" t="s">
        <v>24</v>
      </c>
      <c r="P1" s="4" t="s">
        <v>280</v>
      </c>
      <c r="Q1" s="6" t="s">
        <v>289</v>
      </c>
      <c r="R1" s="4" t="s">
        <v>25</v>
      </c>
      <c r="S1" s="4" t="s">
        <v>33</v>
      </c>
      <c r="T1" s="6"/>
    </row>
    <row r="2" spans="1:23" ht="30" customHeight="1">
      <c r="A2" t="s">
        <v>34</v>
      </c>
      <c r="B2" t="s">
        <v>281</v>
      </c>
      <c r="C2" s="6" t="s">
        <v>105</v>
      </c>
      <c r="D2" s="4">
        <f>VLOOKUP(Table7[[#This Row],[LOAN APPLICATION NO]],LOAN_APPLICATION!A:P,4,FALSE)</f>
        <v>1000</v>
      </c>
      <c r="E2" s="4">
        <f>VLOOKUP(Table7[[#This Row],[LOAN APPLICATION NO]],LOAN_APPLICATION!A:P,10,FALSE)</f>
        <v>1000</v>
      </c>
      <c r="F2" s="4">
        <f>VLOOKUP(Table7[[#This Row],[LOAN APPLICATION NO]],LOAN_APPLICATION!A:P,13,FALSE)</f>
        <v>0.5</v>
      </c>
      <c r="G2" s="4">
        <f>VLOOKUP(Table7[[#This Row],[LOAN APPLICATION NO]],LOAN_APPLICATION!A:P,14,FALSE)</f>
        <v>4</v>
      </c>
      <c r="H2" s="4">
        <f>VLOOKUP(Table7[[#This Row],[LOAN APPLICATION NO]],LOAN_APPLICATION!A:P,15,FALSE)</f>
        <v>1500</v>
      </c>
      <c r="I2" s="4">
        <f>SUMIF(REPAYMENT_SCHEDULE!B:B,Table7[[#This Row],[LOAN APPLICATION NO]],REPAYMENT_SCHEDULE!F:F)</f>
        <v>0</v>
      </c>
      <c r="J2" s="4">
        <f>Table7[[#This Row],[TOTAL REPAYMENT]]-Table7[[#This Row],[AMOUNT PAID]]</f>
        <v>1500</v>
      </c>
      <c r="K2" s="7" t="str">
        <f>IF(Table7[[#This Row],[OUTSTANDING BALANCE]]=0,"Completed","Pending")</f>
        <v>Pending</v>
      </c>
      <c r="L2" s="8" t="str">
        <f>VLOOKUP(Table7[[#This Row],[CLIENT NO]],CLIENT_MASTER!A:O,12,FALSE)</f>
        <v>Education</v>
      </c>
      <c r="M2" s="8" t="str">
        <f>VLOOKUP(Table7[[#This Row],[CLIENT NO]],CLIENT_MASTER!A:O,11,FALSE)</f>
        <v>Public</v>
      </c>
      <c r="N2" s="8" t="str">
        <f>VLOOKUP(Table7[[#This Row],[CLIENT NO]],CLIENT_MASTER!A:O,6,FALSE)</f>
        <v>Yawa P/S</v>
      </c>
      <c r="O2" s="9" t="s">
        <v>39</v>
      </c>
      <c r="P2" s="8" t="str">
        <f>VLOOKUP(Table7[[#This Row],[CLIENT NO]],CLIENT_MASTER!A:O,5,FALSE)</f>
        <v>701765546</v>
      </c>
      <c r="Q2" s="7" t="str">
        <f>VLOOKUP(Table7[[#This Row],[CLIENT NO]],CLIENT_MASTER!A:O,8,FALSE)</f>
        <v>Linda Dominic</v>
      </c>
      <c r="R2" s="7" t="str">
        <f>VLOOKUP(Table7[[#This Row],[CLIENT NO]],CLIENT_MASTER!A:O,9,FALSE)</f>
        <v>Spouse</v>
      </c>
      <c r="S2" s="7">
        <f>VLOOKUP(Table7[[#This Row],[CLIENT NO]],CLIENT_MASTER!A:O,10,FALSE)</f>
        <v>709751874</v>
      </c>
      <c r="T2" s="10"/>
    </row>
    <row r="3" spans="1:23" ht="30" customHeight="1">
      <c r="A3" t="s">
        <v>48</v>
      </c>
      <c r="B3" t="s">
        <v>282</v>
      </c>
      <c r="C3" s="6" t="s">
        <v>109</v>
      </c>
      <c r="D3" s="4">
        <f>VLOOKUP(Table7[[#This Row],[LOAN APPLICATION NO]],LOAN_APPLICATION!A:P,4,FALSE)</f>
        <v>500</v>
      </c>
      <c r="E3" s="4">
        <f>VLOOKUP(Table7[[#This Row],[LOAN APPLICATION NO]],LOAN_APPLICATION!A:P,10,FALSE)</f>
        <v>500</v>
      </c>
      <c r="F3" s="4">
        <f>VLOOKUP(Table7[[#This Row],[LOAN APPLICATION NO]],LOAN_APPLICATION!A:P,13,FALSE)</f>
        <v>0.2</v>
      </c>
      <c r="G3" s="4">
        <f>VLOOKUP(Table7[[#This Row],[LOAN APPLICATION NO]],LOAN_APPLICATION!A:P,14,FALSE)</f>
        <v>1</v>
      </c>
      <c r="H3" s="4">
        <f>VLOOKUP(Table7[[#This Row],[LOAN APPLICATION NO]],LOAN_APPLICATION!A:P,15,FALSE)</f>
        <v>600</v>
      </c>
      <c r="I3" s="4">
        <f>SUMIF(REPAYMENT_SCHEDULE!B:B,Table7[[#This Row],[LOAN APPLICATION NO]],REPAYMENT_SCHEDULE!F:F)</f>
        <v>0</v>
      </c>
      <c r="J3" s="4">
        <f>Table7[[#This Row],[TOTAL REPAYMENT]]-Table7[[#This Row],[AMOUNT PAID]]</f>
        <v>600</v>
      </c>
      <c r="K3" s="4" t="str">
        <f>IF(Table7[[#This Row],[OUTSTANDING BALANCE]]=0,"Completed","Pending")</f>
        <v>Pending</v>
      </c>
      <c r="L3" s="4" t="str">
        <f>VLOOKUP(Table7[[#This Row],[CLIENT NO]],CLIENT_MASTER!A:O,12,FALSE)</f>
        <v>Education</v>
      </c>
      <c r="M3" s="4" t="str">
        <f>VLOOKUP(Table7[[#This Row],[CLIENT NO]],CLIENT_MASTER!A:O,11,FALSE)</f>
        <v>Public</v>
      </c>
      <c r="N3" s="4" t="str">
        <f>VLOOKUP(Table7[[#This Row],[CLIENT NO]],CLIENT_MASTER!A:O,6,FALSE)</f>
        <v>Yawa P/S</v>
      </c>
      <c r="O3" s="4"/>
      <c r="P3" s="4" t="str">
        <f>VLOOKUP(Table7[[#This Row],[CLIENT NO]],CLIENT_MASTER!A:O,5,FALSE)</f>
        <v>702284584</v>
      </c>
      <c r="Q3" s="4" t="str">
        <f>VLOOKUP(Table7[[#This Row],[CLIENT NO]],CLIENT_MASTER!A:O,8,FALSE)</f>
        <v>Simby Jolgai</v>
      </c>
      <c r="R3" s="4" t="str">
        <f>VLOOKUP(Table7[[#This Row],[CLIENT NO]],CLIENT_MASTER!A:O,9,FALSE)</f>
        <v>Spouse</v>
      </c>
      <c r="S3" s="4">
        <f>S2</f>
        <v>709751874</v>
      </c>
      <c r="T3" s="1"/>
      <c r="U3" s="1"/>
      <c r="V3" s="1"/>
      <c r="W3" s="1"/>
    </row>
    <row r="4" spans="1:23" ht="30" customHeight="1">
      <c r="A4" t="s">
        <v>52</v>
      </c>
      <c r="B4" t="s">
        <v>53</v>
      </c>
      <c r="C4" s="6" t="s">
        <v>113</v>
      </c>
      <c r="D4" s="4">
        <f>VLOOKUP(Table7[[#This Row],[LOAN APPLICATION NO]],LOAN_APPLICATION!A:P,4,FALSE)</f>
        <v>1500</v>
      </c>
      <c r="E4" s="4">
        <f>VLOOKUP(Table7[[#This Row],[LOAN APPLICATION NO]],LOAN_APPLICATION!A:P,10,FALSE)</f>
        <v>1500</v>
      </c>
      <c r="F4" s="4">
        <f>VLOOKUP(Table7[[#This Row],[LOAN APPLICATION NO]],LOAN_APPLICATION!A:P,13,FALSE)</f>
        <v>0.2</v>
      </c>
      <c r="G4" s="4">
        <f>VLOOKUP(Table7[[#This Row],[LOAN APPLICATION NO]],LOAN_APPLICATION!A:P,14,FALSE)</f>
        <v>1</v>
      </c>
      <c r="H4" s="4">
        <f>VLOOKUP(Table7[[#This Row],[LOAN APPLICATION NO]],LOAN_APPLICATION!A:P,15,FALSE)</f>
        <v>1800</v>
      </c>
      <c r="I4" s="4">
        <f>SUMIF(REPAYMENT_SCHEDULE!B:B,Table7[[#This Row],[LOAN APPLICATION NO]],REPAYMENT_SCHEDULE!F:F)</f>
        <v>0</v>
      </c>
      <c r="J4" s="4">
        <f>Table7[[#This Row],[TOTAL REPAYMENT]]-Table7[[#This Row],[AMOUNT PAID]]</f>
        <v>1800</v>
      </c>
      <c r="K4" s="4" t="str">
        <f>IF(Table7[[#This Row],[OUTSTANDING BALANCE]]=0,"Completed","Pending")</f>
        <v>Pending</v>
      </c>
      <c r="L4" s="4" t="str">
        <f>VLOOKUP(Table7[[#This Row],[CLIENT NO]],CLIENT_MASTER!A:O,12,FALSE)</f>
        <v>Education</v>
      </c>
      <c r="M4" s="4" t="str">
        <f>VLOOKUP(Table7[[#This Row],[CLIENT NO]],CLIENT_MASTER!A:O,11,FALSE)</f>
        <v>Public</v>
      </c>
      <c r="N4" s="4" t="str">
        <f>VLOOKUP(Table7[[#This Row],[CLIENT NO]],CLIENT_MASTER!A:O,6,FALSE)</f>
        <v>Yawa P/S</v>
      </c>
      <c r="O4" s="4"/>
      <c r="P4" s="4" t="str">
        <f>VLOOKUP(Table7[[#This Row],[CLIENT NO]],CLIENT_MASTER!A:O,5,FALSE)</f>
        <v>702159698</v>
      </c>
      <c r="Q4" s="4" t="str">
        <f>VLOOKUP(Table7[[#This Row],[CLIENT NO]],CLIENT_MASTER!A:O,8,FALSE)</f>
        <v>Callyn Kaipo</v>
      </c>
      <c r="R4" s="4" t="str">
        <f>VLOOKUP(Table7[[#This Row],[CLIENT NO]],CLIENT_MASTER!A:O,9,FALSE)</f>
        <v>Spouse</v>
      </c>
      <c r="S4" s="4">
        <f>VLOOKUP(Table7[[#This Row],[CLIENT NO]],CLIENT_MASTER!A:O,10,FALSE)</f>
        <v>704013538</v>
      </c>
      <c r="T4" s="1"/>
    </row>
    <row r="5" spans="1:23" ht="30" customHeight="1">
      <c r="A5" t="s">
        <v>56</v>
      </c>
      <c r="B5" t="s">
        <v>57</v>
      </c>
      <c r="C5" s="6" t="s">
        <v>114</v>
      </c>
      <c r="D5" s="4">
        <f>VLOOKUP(Table7[[#This Row],[LOAN APPLICATION NO]],LOAN_APPLICATION!A:P,4,FALSE)</f>
        <v>800</v>
      </c>
      <c r="E5" s="4">
        <f>VLOOKUP(Table7[[#This Row],[LOAN APPLICATION NO]],LOAN_APPLICATION!A:P,10,FALSE)</f>
        <v>800</v>
      </c>
      <c r="F5" s="4">
        <f>VLOOKUP(Table7[[#This Row],[LOAN APPLICATION NO]],LOAN_APPLICATION!A:P,13,FALSE)</f>
        <v>0.4</v>
      </c>
      <c r="G5" s="4">
        <f>VLOOKUP(Table7[[#This Row],[LOAN APPLICATION NO]],LOAN_APPLICATION!A:P,14,FALSE)</f>
        <v>3</v>
      </c>
      <c r="H5" s="4">
        <f>VLOOKUP(Table7[[#This Row],[LOAN APPLICATION NO]],LOAN_APPLICATION!A:P,15,FALSE)</f>
        <v>1120</v>
      </c>
      <c r="I5" s="4">
        <f>SUMIF(REPAYMENT_SCHEDULE!B:B,Table7[[#This Row],[LOAN APPLICATION NO]],REPAYMENT_SCHEDULE!F:F)</f>
        <v>0</v>
      </c>
      <c r="J5" s="4">
        <f>Table7[[#This Row],[TOTAL REPAYMENT]]-Table7[[#This Row],[AMOUNT PAID]]</f>
        <v>1120</v>
      </c>
      <c r="K5" s="4" t="str">
        <f>IF(Table7[[#This Row],[OUTSTANDING BALANCE]]=0,"Completed","Pending")</f>
        <v>Pending</v>
      </c>
      <c r="L5" s="4" t="str">
        <f>VLOOKUP(Table7[[#This Row],[CLIENT NO]],CLIENT_MASTER!A:O,12,FALSE)</f>
        <v>Education</v>
      </c>
      <c r="M5" s="4" t="str">
        <f>VLOOKUP(Table7[[#This Row],[CLIENT NO]],CLIENT_MASTER!A:O,11,FALSE)</f>
        <v>Public</v>
      </c>
      <c r="N5" s="4" t="str">
        <f>VLOOKUP(Table7[[#This Row],[CLIENT NO]],CLIENT_MASTER!A:O,6,FALSE)</f>
        <v>Yawa P/S</v>
      </c>
      <c r="O5" s="4"/>
      <c r="P5" s="4" t="str">
        <f>VLOOKUP(Table7[[#This Row],[CLIENT NO]],CLIENT_MASTER!A:O,5,FALSE)</f>
        <v>702242043</v>
      </c>
      <c r="Q5" s="4" t="str">
        <f>VLOOKUP(Table7[[#This Row],[CLIENT NO]],CLIENT_MASTER!A:O,8,FALSE)</f>
        <v>Jean Yuwal</v>
      </c>
      <c r="R5" s="4" t="str">
        <f>VLOOKUP(Table7[[#This Row],[CLIENT NO]],CLIENT_MASTER!A:O,9,FALSE)</f>
        <v>Spouse</v>
      </c>
      <c r="S5" s="4">
        <f>VLOOKUP(Table7[[#This Row],[CLIENT NO]],CLIENT_MASTER!A:O,10,FALSE)</f>
        <v>704621286</v>
      </c>
      <c r="T5" s="1"/>
    </row>
    <row r="6" spans="1:23" ht="30" customHeight="1">
      <c r="A6" t="s">
        <v>60</v>
      </c>
      <c r="B6" t="s">
        <v>61</v>
      </c>
      <c r="C6" s="6" t="s">
        <v>115</v>
      </c>
      <c r="D6" s="4">
        <f>VLOOKUP(Table7[[#This Row],[LOAN APPLICATION NO]],LOAN_APPLICATION!A:P,4,FALSE)</f>
        <v>500</v>
      </c>
      <c r="E6" s="4">
        <f>VLOOKUP(Table7[[#This Row],[LOAN APPLICATION NO]],LOAN_APPLICATION!A:P,10,FALSE)</f>
        <v>500</v>
      </c>
      <c r="F6" s="4">
        <f>VLOOKUP(Table7[[#This Row],[LOAN APPLICATION NO]],LOAN_APPLICATION!A:P,13,FALSE)</f>
        <v>0.3</v>
      </c>
      <c r="G6" s="4">
        <f>VLOOKUP(Table7[[#This Row],[LOAN APPLICATION NO]],LOAN_APPLICATION!A:P,14,FALSE)</f>
        <v>2</v>
      </c>
      <c r="H6" s="4">
        <f>VLOOKUP(Table7[[#This Row],[LOAN APPLICATION NO]],LOAN_APPLICATION!A:P,15,FALSE)</f>
        <v>650</v>
      </c>
      <c r="I6" s="4">
        <f>SUMIF(REPAYMENT_SCHEDULE!B:B,Table7[[#This Row],[LOAN APPLICATION NO]],REPAYMENT_SCHEDULE!F:F)</f>
        <v>0</v>
      </c>
      <c r="J6" s="4">
        <f>Table7[[#This Row],[TOTAL REPAYMENT]]-Table7[[#This Row],[AMOUNT PAID]]</f>
        <v>650</v>
      </c>
      <c r="K6" s="4" t="str">
        <f>IF(Table7[[#This Row],[OUTSTANDING BALANCE]]=0,"Completed","Pending")</f>
        <v>Pending</v>
      </c>
      <c r="L6" s="4" t="str">
        <f>VLOOKUP(Table7[[#This Row],[CLIENT NO]],CLIENT_MASTER!A:O,12,FALSE)</f>
        <v>Education</v>
      </c>
      <c r="M6" s="4" t="str">
        <f>VLOOKUP(Table7[[#This Row],[CLIENT NO]],CLIENT_MASTER!A:O,11,FALSE)</f>
        <v>Public</v>
      </c>
      <c r="N6" s="4" t="str">
        <f>VLOOKUP(Table7[[#This Row],[CLIENT NO]],CLIENT_MASTER!A:O,6,FALSE)</f>
        <v>Yawa P/S</v>
      </c>
      <c r="O6" s="4"/>
      <c r="P6" s="4" t="str">
        <f>VLOOKUP(Table7[[#This Row],[CLIENT NO]],CLIENT_MASTER!A:O,5,FALSE)</f>
        <v>704586745</v>
      </c>
      <c r="Q6" s="4" t="str">
        <f>VLOOKUP(Table7[[#This Row],[CLIENT NO]],CLIENT_MASTER!A:O,8,FALSE)</f>
        <v>Jane Waiyoi</v>
      </c>
      <c r="R6" s="4" t="str">
        <f>VLOOKUP(Table7[[#This Row],[CLIENT NO]],CLIENT_MASTER!A:O,9,FALSE)</f>
        <v>Spouse</v>
      </c>
      <c r="S6" s="4">
        <f>VLOOKUP(Table7[[#This Row],[CLIENT NO]],CLIENT_MASTER!A:O,10,FALSE)</f>
        <v>707967132</v>
      </c>
      <c r="T6" s="1"/>
    </row>
    <row r="7" spans="1:23" ht="30" customHeight="1">
      <c r="A7" t="s">
        <v>64</v>
      </c>
      <c r="B7" t="s">
        <v>65</v>
      </c>
      <c r="C7" s="6" t="s">
        <v>116</v>
      </c>
      <c r="D7" s="4">
        <f>VLOOKUP(Table7[[#This Row],[LOAN APPLICATION NO]],LOAN_APPLICATION!A:P,4,FALSE)</f>
        <v>2500</v>
      </c>
      <c r="E7" s="4">
        <f>VLOOKUP(Table7[[#This Row],[LOAN APPLICATION NO]],LOAN_APPLICATION!A:P,10,FALSE)</f>
        <v>2500</v>
      </c>
      <c r="F7" s="4">
        <f>VLOOKUP(Table7[[#This Row],[LOAN APPLICATION NO]],LOAN_APPLICATION!A:P,13,FALSE)</f>
        <v>0.3</v>
      </c>
      <c r="G7" s="4">
        <f>VLOOKUP(Table7[[#This Row],[LOAN APPLICATION NO]],LOAN_APPLICATION!A:P,14,FALSE)</f>
        <v>2</v>
      </c>
      <c r="H7" s="4">
        <f>VLOOKUP(Table7[[#This Row],[LOAN APPLICATION NO]],LOAN_APPLICATION!A:P,15,FALSE)</f>
        <v>3250</v>
      </c>
      <c r="I7" s="4">
        <f>SUMIF(REPAYMENT_SCHEDULE!B:B,Table7[[#This Row],[LOAN APPLICATION NO]],REPAYMENT_SCHEDULE!F:F)</f>
        <v>0</v>
      </c>
      <c r="J7" s="4">
        <f>Table7[[#This Row],[TOTAL REPAYMENT]]-Table7[[#This Row],[AMOUNT PAID]]</f>
        <v>3250</v>
      </c>
      <c r="K7" s="4" t="str">
        <f>IF(Table7[[#This Row],[OUTSTANDING BALANCE]]=0,"Completed","Pending")</f>
        <v>Pending</v>
      </c>
      <c r="L7" s="4" t="str">
        <f>VLOOKUP(Table7[[#This Row],[CLIENT NO]],CLIENT_MASTER!A:O,12,FALSE)</f>
        <v>Education</v>
      </c>
      <c r="M7" s="4" t="str">
        <f>VLOOKUP(Table7[[#This Row],[CLIENT NO]],CLIENT_MASTER!A:O,11,FALSE)</f>
        <v>Public</v>
      </c>
      <c r="N7" s="4" t="str">
        <f>VLOOKUP(Table7[[#This Row],[CLIENT NO]],CLIENT_MASTER!A:O,6,FALSE)</f>
        <v>Teiri P/S</v>
      </c>
      <c r="O7" s="4"/>
      <c r="P7" s="4" t="str">
        <f>VLOOKUP(Table7[[#This Row],[CLIENT NO]],CLIENT_MASTER!A:O,5,FALSE)</f>
        <v>706113372</v>
      </c>
      <c r="Q7" s="4" t="str">
        <f>VLOOKUP(Table7[[#This Row],[CLIENT NO]],CLIENT_MASTER!A:O,8,FALSE)</f>
        <v>Nelson Melu</v>
      </c>
      <c r="R7" s="4" t="str">
        <f>VLOOKUP(Table7[[#This Row],[CLIENT NO]],CLIENT_MASTER!A:O,9,FALSE)</f>
        <v>Spouse</v>
      </c>
      <c r="S7" s="4">
        <f>VLOOKUP(Table7[[#This Row],[CLIENT NO]],CLIENT_MASTER!A:O,10,FALSE)</f>
        <v>708651309</v>
      </c>
      <c r="T7" s="1"/>
    </row>
    <row r="8" spans="1:23" ht="30" customHeight="1">
      <c r="A8" t="s">
        <v>70</v>
      </c>
      <c r="B8" t="s">
        <v>71</v>
      </c>
      <c r="C8" s="6" t="s">
        <v>117</v>
      </c>
      <c r="D8" s="4">
        <f>VLOOKUP(Table7[[#This Row],[LOAN APPLICATION NO]],LOAN_APPLICATION!A:P,4,FALSE)</f>
        <v>1500</v>
      </c>
      <c r="E8" s="4">
        <f>VLOOKUP(Table7[[#This Row],[LOAN APPLICATION NO]],LOAN_APPLICATION!A:P,10,FALSE)</f>
        <v>1500</v>
      </c>
      <c r="F8" s="4">
        <f>VLOOKUP(Table7[[#This Row],[LOAN APPLICATION NO]],LOAN_APPLICATION!A:P,13,FALSE)</f>
        <v>0.5</v>
      </c>
      <c r="G8" s="4">
        <f>VLOOKUP(Table7[[#This Row],[LOAN APPLICATION NO]],LOAN_APPLICATION!A:P,14,FALSE)</f>
        <v>4</v>
      </c>
      <c r="H8" s="4">
        <f>VLOOKUP(Table7[[#This Row],[LOAN APPLICATION NO]],LOAN_APPLICATION!A:P,15,FALSE)</f>
        <v>2250</v>
      </c>
      <c r="I8" s="4">
        <f>SUMIF(REPAYMENT_SCHEDULE!B:B,Table7[[#This Row],[LOAN APPLICATION NO]],REPAYMENT_SCHEDULE!F:F)</f>
        <v>0</v>
      </c>
      <c r="J8" s="4">
        <f>Table7[[#This Row],[TOTAL REPAYMENT]]-Table7[[#This Row],[AMOUNT PAID]]</f>
        <v>2250</v>
      </c>
      <c r="K8" s="4" t="str">
        <f>IF(Table7[[#This Row],[OUTSTANDING BALANCE]]=0,"Completed","Pending")</f>
        <v>Pending</v>
      </c>
      <c r="L8" s="4" t="str">
        <f>VLOOKUP(Table7[[#This Row],[CLIENT NO]],CLIENT_MASTER!A:O,12,FALSE)</f>
        <v>Education</v>
      </c>
      <c r="M8" s="4" t="str">
        <f>VLOOKUP(Table7[[#This Row],[CLIENT NO]],CLIENT_MASTER!A:O,11,FALSE)</f>
        <v>Public</v>
      </c>
      <c r="N8" s="4" t="str">
        <f>VLOOKUP(Table7[[#This Row],[CLIENT NO]],CLIENT_MASTER!A:O,6,FALSE)</f>
        <v>Teiri P/S</v>
      </c>
      <c r="O8" s="4"/>
      <c r="P8" s="4" t="str">
        <f>VLOOKUP(Table7[[#This Row],[CLIENT NO]],CLIENT_MASTER!A:O,5,FALSE)</f>
        <v>702570236</v>
      </c>
      <c r="Q8" s="4" t="str">
        <f>VLOOKUP(Table7[[#This Row],[CLIENT NO]],CLIENT_MASTER!A:O,8,FALSE)</f>
        <v>James nali</v>
      </c>
      <c r="R8" s="4" t="str">
        <f>VLOOKUP(Table7[[#This Row],[CLIENT NO]],CLIENT_MASTER!A:O,9,FALSE)</f>
        <v>Spouse</v>
      </c>
      <c r="S8" s="4">
        <f>VLOOKUP(Table7[[#This Row],[CLIENT NO]],CLIENT_MASTER!A:O,10,FALSE)</f>
        <v>707233556</v>
      </c>
      <c r="T8" s="1"/>
    </row>
    <row r="9" spans="1:23" ht="30" customHeight="1">
      <c r="A9" t="s">
        <v>74</v>
      </c>
      <c r="B9" t="s">
        <v>75</v>
      </c>
      <c r="C9" s="6" t="s">
        <v>118</v>
      </c>
      <c r="D9" s="4">
        <f>VLOOKUP(Table7[[#This Row],[LOAN APPLICATION NO]],LOAN_APPLICATION!A:P,4,FALSE)</f>
        <v>800</v>
      </c>
      <c r="E9" s="4">
        <f>VLOOKUP(Table7[[#This Row],[LOAN APPLICATION NO]],LOAN_APPLICATION!A:P,10,FALSE)</f>
        <v>800</v>
      </c>
      <c r="F9" s="4">
        <f>VLOOKUP(Table7[[#This Row],[LOAN APPLICATION NO]],LOAN_APPLICATION!A:P,13,FALSE)</f>
        <v>0.4</v>
      </c>
      <c r="G9" s="4">
        <f>VLOOKUP(Table7[[#This Row],[LOAN APPLICATION NO]],LOAN_APPLICATION!A:P,14,FALSE)</f>
        <v>3</v>
      </c>
      <c r="H9" s="4">
        <f>VLOOKUP(Table7[[#This Row],[LOAN APPLICATION NO]],LOAN_APPLICATION!A:P,15,FALSE)</f>
        <v>1120</v>
      </c>
      <c r="I9" s="4">
        <f>SUMIF(REPAYMENT_SCHEDULE!B:B,Table7[[#This Row],[LOAN APPLICATION NO]],REPAYMENT_SCHEDULE!F:F)</f>
        <v>0</v>
      </c>
      <c r="J9" s="4">
        <f>Table7[[#This Row],[TOTAL REPAYMENT]]-Table7[[#This Row],[AMOUNT PAID]]</f>
        <v>1120</v>
      </c>
      <c r="K9" s="4" t="str">
        <f>IF(Table7[[#This Row],[OUTSTANDING BALANCE]]=0,"Completed","Pending")</f>
        <v>Pending</v>
      </c>
      <c r="L9" s="4" t="str">
        <f>VLOOKUP(Table7[[#This Row],[CLIENT NO]],CLIENT_MASTER!A:O,12,FALSE)</f>
        <v>Education</v>
      </c>
      <c r="M9" s="4" t="str">
        <f>VLOOKUP(Table7[[#This Row],[CLIENT NO]],CLIENT_MASTER!A:O,11,FALSE)</f>
        <v>Public</v>
      </c>
      <c r="N9" s="4" t="str">
        <f>VLOOKUP(Table7[[#This Row],[CLIENT NO]],CLIENT_MASTER!A:O,6,FALSE)</f>
        <v>Teiri P/S</v>
      </c>
      <c r="O9" s="4"/>
      <c r="P9" s="4" t="str">
        <f>VLOOKUP(Table7[[#This Row],[CLIENT NO]],CLIENT_MASTER!A:O,5,FALSE)</f>
        <v>705070560</v>
      </c>
      <c r="Q9" s="4" t="str">
        <f>VLOOKUP(Table7[[#This Row],[CLIENT NO]],CLIENT_MASTER!A:O,8,FALSE)</f>
        <v>Rose Fango</v>
      </c>
      <c r="R9" s="4" t="str">
        <f>VLOOKUP(Table7[[#This Row],[CLIENT NO]],CLIENT_MASTER!A:O,9,FALSE)</f>
        <v>Spouse</v>
      </c>
      <c r="S9" s="4">
        <f>VLOOKUP(Table7[[#This Row],[CLIENT NO]],CLIENT_MASTER!A:O,10,FALSE)</f>
        <v>702255783</v>
      </c>
      <c r="T9" s="1"/>
    </row>
    <row r="10" spans="1:23" ht="30" customHeight="1">
      <c r="A10" t="s">
        <v>78</v>
      </c>
      <c r="B10" t="s">
        <v>79</v>
      </c>
      <c r="C10" s="6" t="s">
        <v>119</v>
      </c>
      <c r="D10" s="4">
        <f>VLOOKUP(Table7[[#This Row],[LOAN APPLICATION NO]],LOAN_APPLICATION!A:P,4,FALSE)</f>
        <v>500</v>
      </c>
      <c r="E10" s="4">
        <f>VLOOKUP(Table7[[#This Row],[LOAN APPLICATION NO]],LOAN_APPLICATION!A:P,10,FALSE)</f>
        <v>500</v>
      </c>
      <c r="F10" s="4">
        <f>VLOOKUP(Table7[[#This Row],[LOAN APPLICATION NO]],LOAN_APPLICATION!A:P,13,FALSE)</f>
        <v>0.2</v>
      </c>
      <c r="G10" s="4">
        <f>VLOOKUP(Table7[[#This Row],[LOAN APPLICATION NO]],LOAN_APPLICATION!A:P,14,FALSE)</f>
        <v>1</v>
      </c>
      <c r="H10" s="4">
        <f>VLOOKUP(Table7[[#This Row],[LOAN APPLICATION NO]],LOAN_APPLICATION!A:P,15,FALSE)</f>
        <v>600</v>
      </c>
      <c r="I10" s="4">
        <f>SUMIF(REPAYMENT_SCHEDULE!B:B,Table7[[#This Row],[LOAN APPLICATION NO]],REPAYMENT_SCHEDULE!F:F)</f>
        <v>0</v>
      </c>
      <c r="J10" s="4">
        <f>Table7[[#This Row],[TOTAL REPAYMENT]]-Table7[[#This Row],[AMOUNT PAID]]</f>
        <v>600</v>
      </c>
      <c r="K10" s="4" t="str">
        <f>IF(Table7[[#This Row],[OUTSTANDING BALANCE]]=0,"Completed","Pending")</f>
        <v>Pending</v>
      </c>
      <c r="L10" s="4" t="str">
        <f>VLOOKUP(Table7[[#This Row],[CLIENT NO]],CLIENT_MASTER!A:O,12,FALSE)</f>
        <v>Education</v>
      </c>
      <c r="M10" s="4" t="str">
        <f>VLOOKUP(Table7[[#This Row],[CLIENT NO]],CLIENT_MASTER!A:O,11,FALSE)</f>
        <v>Public</v>
      </c>
      <c r="N10" s="4" t="str">
        <f>VLOOKUP(Table7[[#This Row],[CLIENT NO]],CLIENT_MASTER!A:O,6,FALSE)</f>
        <v>Teiri P/S</v>
      </c>
      <c r="O10" s="4"/>
      <c r="P10" s="4" t="str">
        <f>VLOOKUP(Table7[[#This Row],[CLIENT NO]],CLIENT_MASTER!A:O,5,FALSE)</f>
        <v>706594212</v>
      </c>
      <c r="Q10" s="4" t="str">
        <f>VLOOKUP(Table7[[#This Row],[CLIENT NO]],CLIENT_MASTER!A:O,8,FALSE)</f>
        <v>Harry Pita</v>
      </c>
      <c r="R10" s="4" t="str">
        <f>VLOOKUP(Table7[[#This Row],[CLIENT NO]],CLIENT_MASTER!A:O,9,FALSE)</f>
        <v>Spouse</v>
      </c>
      <c r="S10" s="4">
        <f>VLOOKUP(Table7[[#This Row],[CLIENT NO]],CLIENT_MASTER!A:O,10,FALSE)</f>
        <v>709491514</v>
      </c>
      <c r="T10" s="1"/>
    </row>
    <row r="11" spans="1:23" ht="30" customHeight="1">
      <c r="A11" t="s">
        <v>82</v>
      </c>
      <c r="B11" t="s">
        <v>83</v>
      </c>
      <c r="C11" s="6" t="s">
        <v>120</v>
      </c>
      <c r="D11" s="4">
        <f>VLOOKUP(Table7[[#This Row],[LOAN APPLICATION NO]],LOAN_APPLICATION!A:P,4,FALSE)</f>
        <v>500</v>
      </c>
      <c r="E11" s="4">
        <f>VLOOKUP(Table7[[#This Row],[LOAN APPLICATION NO]],LOAN_APPLICATION!A:P,10,FALSE)</f>
        <v>500</v>
      </c>
      <c r="F11" s="4">
        <f>VLOOKUP(Table7[[#This Row],[LOAN APPLICATION NO]],LOAN_APPLICATION!A:P,13,FALSE)</f>
        <v>0.2</v>
      </c>
      <c r="G11" s="4">
        <f>VLOOKUP(Table7[[#This Row],[LOAN APPLICATION NO]],LOAN_APPLICATION!A:P,14,FALSE)</f>
        <v>1</v>
      </c>
      <c r="H11" s="4">
        <f>VLOOKUP(Table7[[#This Row],[LOAN APPLICATION NO]],LOAN_APPLICATION!A:P,15,FALSE)</f>
        <v>600</v>
      </c>
      <c r="I11" s="4">
        <f>SUMIF(REPAYMENT_SCHEDULE!B:B,Table7[[#This Row],[LOAN APPLICATION NO]],REPAYMENT_SCHEDULE!F:F)</f>
        <v>0</v>
      </c>
      <c r="J11" s="4">
        <f>Table7[[#This Row],[TOTAL REPAYMENT]]-Table7[[#This Row],[AMOUNT PAID]]</f>
        <v>600</v>
      </c>
      <c r="K11" s="4" t="str">
        <f>IF(Table7[[#This Row],[OUTSTANDING BALANCE]]=0,"Completed","Pending")</f>
        <v>Pending</v>
      </c>
      <c r="L11" s="4" t="str">
        <f>VLOOKUP(Table7[[#This Row],[CLIENT NO]],CLIENT_MASTER!A:O,12,FALSE)</f>
        <v>Education</v>
      </c>
      <c r="M11" s="4" t="str">
        <f>VLOOKUP(Table7[[#This Row],[CLIENT NO]],CLIENT_MASTER!A:O,11,FALSE)</f>
        <v>Public</v>
      </c>
      <c r="N11" s="4" t="str">
        <f>VLOOKUP(Table7[[#This Row],[CLIENT NO]],CLIENT_MASTER!A:O,6,FALSE)</f>
        <v>Teiri P/S</v>
      </c>
      <c r="O11" s="4"/>
      <c r="P11" s="4">
        <f>VLOOKUP(Table7[[#This Row],[CLIENT NO]],CLIENT_MASTER!A:O,5,FALSE)</f>
        <v>71720062</v>
      </c>
      <c r="Q11" s="4" t="str">
        <f>VLOOKUP(Table7[[#This Row],[CLIENT NO]],CLIENT_MASTER!A:O,8,FALSE)</f>
        <v>Sebby Melu</v>
      </c>
      <c r="R11" s="4" t="str">
        <f>VLOOKUP(Table7[[#This Row],[CLIENT NO]],CLIENT_MASTER!A:O,9,FALSE)</f>
        <v>Father</v>
      </c>
      <c r="S11" s="4">
        <f>VLOOKUP(Table7[[#This Row],[CLIENT NO]],CLIENT_MASTER!A:O,10,FALSE)</f>
        <v>79954719</v>
      </c>
      <c r="T11" s="1"/>
    </row>
  </sheetData>
  <hyperlinks>
    <hyperlink ref="O2" r:id="rId1" xr:uid="{00000000-0004-0000-0600-000000000000}"/>
  </hyperlinks>
  <pageMargins left="0.7" right="0.7" top="0.75" bottom="0.75" header="0.3" footer="0.3"/>
  <pageSetup paperSize="9" orientation="portrait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tabSelected="1" workbookViewId="0">
      <selection activeCell="E2" sqref="E2"/>
    </sheetView>
  </sheetViews>
  <sheetFormatPr defaultColWidth="9.140625" defaultRowHeight="15"/>
  <cols>
    <col min="1" max="1" width="13" style="1" customWidth="1"/>
    <col min="2" max="2" width="21" style="1" customWidth="1"/>
    <col min="3" max="3" width="13.5703125" style="1" customWidth="1"/>
    <col min="4" max="4" width="12.7109375" style="1" customWidth="1"/>
    <col min="5" max="5" width="23.140625" style="1" customWidth="1"/>
    <col min="6" max="6" width="12.7109375" style="1" customWidth="1"/>
    <col min="7" max="7" width="40.140625" style="1" customWidth="1"/>
    <col min="8" max="16384" width="9.140625" style="1"/>
  </cols>
  <sheetData>
    <row r="1" spans="1:8" ht="30" customHeight="1">
      <c r="A1" s="2" t="s">
        <v>18</v>
      </c>
      <c r="B1" s="2" t="s">
        <v>283</v>
      </c>
      <c r="C1" s="2" t="s">
        <v>284</v>
      </c>
      <c r="D1" s="2" t="s">
        <v>285</v>
      </c>
      <c r="E1" s="2" t="s">
        <v>286</v>
      </c>
      <c r="F1" s="2" t="s">
        <v>287</v>
      </c>
      <c r="G1" s="2" t="s">
        <v>288</v>
      </c>
    </row>
    <row r="2" spans="1:8" ht="30" customHeight="1">
      <c r="A2" s="3" t="str" cm="1">
        <f t="array" ref="A2">INDEX(CLIENT_MASTER!A:A,ROW(A2))</f>
        <v>CL-0001</v>
      </c>
      <c r="B2" s="4" t="str">
        <f>VLOOKUP(A2,CLIENT_MASTER!A:R,2,FALSE)</f>
        <v>Camilus Dominic</v>
      </c>
      <c r="C2" s="4">
        <f>COUNTIF(LOAN_APPLICATION!B:B, A2)</f>
        <v>1</v>
      </c>
      <c r="D2" s="4">
        <f>SUMIF(LOAN_APPLICATION!B:B,A2,LOAN_APPLICATION!J:J)</f>
        <v>1000</v>
      </c>
      <c r="E2" s="4">
        <f>SUMIF(LOAN_APPLICATION!B:B, A2, LOAN_APPLICATION!N:N) - SUMIF(LOAN_APPLICATION!B:B, A2, LOAN_APPLICATION!J:J)</f>
        <v>-996</v>
      </c>
      <c r="F2" s="4">
        <f>COUNTIFS(REPAYMENT_SCHEDULE!B:B,A2,REPAYMENT_SCHEDULE!H:H,"Pending")</f>
        <v>0</v>
      </c>
      <c r="G2" s="41" t="str">
        <f>IF(Table9[[#This Row],[TOTAL LOAN DEFAULTS]]&gt;0,"Needs Review","Good Standing")</f>
        <v>Good Standing</v>
      </c>
      <c r="H2" s="5"/>
    </row>
    <row r="3" spans="1:8" ht="30" customHeight="1">
      <c r="A3" s="3" t="str" cm="1">
        <f t="array" ref="A3">INDEX(CLIENT_MASTER!A:A,ROW(A3))</f>
        <v>CL-0002</v>
      </c>
      <c r="B3" s="4" t="str">
        <f>VLOOKUP(A3, CLIENT_MASTER!A:B, 2, FALSE)</f>
        <v>Ricky Jolgai</v>
      </c>
      <c r="C3" s="4">
        <f>COUNTIF(LOAN_APPLICATION!B:B, A3)</f>
        <v>1</v>
      </c>
      <c r="D3" s="4">
        <f>SUMIF(LOAN_APPLICATION!B:B,A3,LOAN_APPLICATION!J:J)</f>
        <v>500</v>
      </c>
      <c r="E3" s="4">
        <f>SUMIF(LOAN_APPLICATION!B:B, A3, LOAN_APPLICATION!N:N) - SUMIF(LOAN_APPLICATION!B:B, A3, LOAN_APPLICATION!J:J)</f>
        <v>-499</v>
      </c>
      <c r="F3" s="4">
        <f>COUNTIFS(REPAYMENT_SCHEDULE!B:B,A3,REPAYMENT_SCHEDULE!H:H,"Pending")</f>
        <v>0</v>
      </c>
      <c r="G3" s="41" t="str">
        <f>IF(Table9[[#This Row],[TOTAL LOAN DEFAULTS]]&gt;0,"Needs Review","Good Standing")</f>
        <v>Good Standing</v>
      </c>
      <c r="H3" s="5"/>
    </row>
    <row r="4" spans="1:8" ht="30" customHeight="1">
      <c r="A4" s="3" t="str" cm="1">
        <f t="array" ref="A4">INDEX(CLIENT_MASTER!A:A,ROW(A4))</f>
        <v>CL-0003</v>
      </c>
      <c r="B4" s="4" t="str">
        <f>VLOOKUP(A4, CLIENT_MASTER!A:B, 2, FALSE)</f>
        <v>Simeon Kaipo</v>
      </c>
      <c r="C4" s="4">
        <f>COUNTIF(LOAN_APPLICATION!B:B, A4)</f>
        <v>1</v>
      </c>
      <c r="D4" s="4">
        <f>SUMIF(LOAN_APPLICATION!B:B,A4,LOAN_APPLICATION!J:J)</f>
        <v>1500</v>
      </c>
      <c r="E4" s="4">
        <f>SUMIF(LOAN_APPLICATION!B:B, A4, LOAN_APPLICATION!N:N) - SUMIF(LOAN_APPLICATION!B:B, A4, LOAN_APPLICATION!J:J)</f>
        <v>-1499</v>
      </c>
      <c r="F4" s="4">
        <f>COUNTIFS(REPAYMENT_SCHEDULE!B:B,A4,REPAYMENT_SCHEDULE!H:H,"Pending")</f>
        <v>0</v>
      </c>
      <c r="G4" s="41" t="str">
        <f>IF(Table9[[#This Row],[TOTAL LOAN DEFAULTS]]&gt;0,"Needs Review","Good Standing")</f>
        <v>Good Standing</v>
      </c>
      <c r="H4" s="5"/>
    </row>
    <row r="5" spans="1:8" ht="30" customHeight="1">
      <c r="A5" s="3" t="str" cm="1">
        <f t="array" ref="A5">INDEX(CLIENT_MASTER!A:A,ROW(A5))</f>
        <v>CL-0004</v>
      </c>
      <c r="B5" s="4" t="str">
        <f>VLOOKUP(A5, CLIENT_MASTER!A:B, 2, FALSE)</f>
        <v>Josek Yuwal</v>
      </c>
      <c r="C5" s="4">
        <f>COUNTIF(LOAN_APPLICATION!B:B, A5)</f>
        <v>1</v>
      </c>
      <c r="D5" s="4">
        <f>SUMIF(LOAN_APPLICATION!B:B,A5,LOAN_APPLICATION!J:J)</f>
        <v>800</v>
      </c>
      <c r="E5" s="4">
        <f>SUMIF(LOAN_APPLICATION!B:B, A5, LOAN_APPLICATION!N:N) - SUMIF(LOAN_APPLICATION!B:B, A5, LOAN_APPLICATION!J:J)</f>
        <v>-797</v>
      </c>
      <c r="F5" s="4">
        <f>COUNTIFS(REPAYMENT_SCHEDULE!B:B,A5,REPAYMENT_SCHEDULE!H:H,"Pending")</f>
        <v>0</v>
      </c>
      <c r="G5" s="41" t="str">
        <f>IF(Table9[[#This Row],[TOTAL LOAN DEFAULTS]]&gt;0,"Needs Review","Good Standing")</f>
        <v>Good Standing</v>
      </c>
      <c r="H5" s="5"/>
    </row>
    <row r="6" spans="1:8" ht="30" customHeight="1">
      <c r="A6" s="3" t="str" cm="1">
        <f t="array" ref="A6">INDEX(CLIENT_MASTER!A:A,ROW(A6))</f>
        <v>CL-0005</v>
      </c>
      <c r="B6" s="4" t="str">
        <f>VLOOKUP(A6, CLIENT_MASTER!A:B, 2, FALSE)</f>
        <v>Bob Waiyoi</v>
      </c>
      <c r="C6" s="4">
        <f>COUNTIF(LOAN_APPLICATION!B:B, A6)</f>
        <v>1</v>
      </c>
      <c r="D6" s="4">
        <f>SUMIF(LOAN_APPLICATION!B:B,A6,LOAN_APPLICATION!J:J)</f>
        <v>500</v>
      </c>
      <c r="E6" s="4">
        <f>SUMIF(LOAN_APPLICATION!B:B, A6, LOAN_APPLICATION!N:N) - SUMIF(LOAN_APPLICATION!B:B, A6, LOAN_APPLICATION!J:J)</f>
        <v>-498</v>
      </c>
      <c r="F6" s="4">
        <f>COUNTIFS(REPAYMENT_SCHEDULE!B:B,A6,REPAYMENT_SCHEDULE!H:H,"Pending")</f>
        <v>0</v>
      </c>
      <c r="G6" s="41" t="str">
        <f>IF(Table9[[#This Row],[TOTAL LOAN DEFAULTS]]&gt;0,"Needs Review","Good Standing")</f>
        <v>Good Standing</v>
      </c>
      <c r="H6" s="5"/>
    </row>
    <row r="7" spans="1:8" ht="30" customHeight="1">
      <c r="A7" s="3" t="str" cm="1">
        <f t="array" ref="A7">INDEX(CLIENT_MASTER!A:A,ROW(A7))</f>
        <v>CL-0006</v>
      </c>
      <c r="B7" s="4" t="str">
        <f>VLOOKUP(A7, CLIENT_MASTER!A:B, 2, FALSE)</f>
        <v>Rayleen Edai</v>
      </c>
      <c r="C7" s="4">
        <f>COUNTIF(LOAN_APPLICATION!B:B, A7)</f>
        <v>1</v>
      </c>
      <c r="D7" s="4">
        <f>SUMIF(LOAN_APPLICATION!B:B,A7,LOAN_APPLICATION!J:J)</f>
        <v>2500</v>
      </c>
      <c r="E7" s="4">
        <f>SUMIF(LOAN_APPLICATION!B:B, A7, LOAN_APPLICATION!N:N) - SUMIF(LOAN_APPLICATION!B:B, A7, LOAN_APPLICATION!J:J)</f>
        <v>-2498</v>
      </c>
      <c r="F7" s="4">
        <f>COUNTIFS(REPAYMENT_SCHEDULE!B:B,A7,REPAYMENT_SCHEDULE!H:H,"Pending")</f>
        <v>0</v>
      </c>
      <c r="G7" s="41" t="str">
        <f>IF(Table9[[#This Row],[TOTAL LOAN DEFAULTS]]&gt;0,"Needs Review","Good Standing")</f>
        <v>Good Standing</v>
      </c>
      <c r="H7" s="5"/>
    </row>
    <row r="8" spans="1:8" ht="30" customHeight="1">
      <c r="A8" s="3" t="str" cm="1">
        <f t="array" ref="A8">INDEX(CLIENT_MASTER!A:A,ROW(A8))</f>
        <v>CL-0007</v>
      </c>
      <c r="B8" s="4" t="str">
        <f>VLOOKUP(A8, CLIENT_MASTER!A:B, 2, FALSE)</f>
        <v>Ruth Nali</v>
      </c>
      <c r="C8" s="4">
        <f>COUNTIF(LOAN_APPLICATION!B:B, A8)</f>
        <v>1</v>
      </c>
      <c r="D8" s="4">
        <f>SUMIF(LOAN_APPLICATION!B:B,A8,LOAN_APPLICATION!J:J)</f>
        <v>1500</v>
      </c>
      <c r="E8" s="4">
        <f>SUMIF(LOAN_APPLICATION!B:B, A8, LOAN_APPLICATION!N:N) - SUMIF(LOAN_APPLICATION!B:B, A8, LOAN_APPLICATION!J:J)</f>
        <v>-1496</v>
      </c>
      <c r="F8" s="4">
        <f>COUNTIFS(REPAYMENT_SCHEDULE!B:B,A8,REPAYMENT_SCHEDULE!H:H,"Pending")</f>
        <v>0</v>
      </c>
      <c r="G8" s="41" t="str">
        <f>IF(Table9[[#This Row],[TOTAL LOAN DEFAULTS]]&gt;0,"Needs Review","Good Standing")</f>
        <v>Good Standing</v>
      </c>
      <c r="H8" s="5"/>
    </row>
    <row r="9" spans="1:8" ht="30" customHeight="1">
      <c r="A9" s="3" t="str" cm="1">
        <f t="array" ref="A9">INDEX(CLIENT_MASTER!A:A,ROW(A9))</f>
        <v>CL-0008</v>
      </c>
      <c r="B9" s="4" t="str">
        <f>VLOOKUP(A9, CLIENT_MASTER!A:B, 2, FALSE)</f>
        <v>Peter Fango</v>
      </c>
      <c r="C9" s="4">
        <f>COUNTIF(LOAN_APPLICATION!B:B, A9)</f>
        <v>1</v>
      </c>
      <c r="D9" s="4">
        <f>SUMIF(LOAN_APPLICATION!B:B,A9,LOAN_APPLICATION!J:J)</f>
        <v>800</v>
      </c>
      <c r="E9" s="4">
        <f>SUMIF(LOAN_APPLICATION!B:B, A9, LOAN_APPLICATION!N:N) - SUMIF(LOAN_APPLICATION!B:B, A9, LOAN_APPLICATION!J:J)</f>
        <v>-797</v>
      </c>
      <c r="F9" s="4">
        <f>COUNTIFS(REPAYMENT_SCHEDULE!B:B,A9,REPAYMENT_SCHEDULE!H:H,"Pending")</f>
        <v>0</v>
      </c>
      <c r="G9" s="41" t="str">
        <f>IF(Table9[[#This Row],[TOTAL LOAN DEFAULTS]]&gt;0,"Needs Review","Good Standing")</f>
        <v>Good Standing</v>
      </c>
      <c r="H9" s="5"/>
    </row>
    <row r="10" spans="1:8" ht="30" customHeight="1">
      <c r="A10" s="3" t="str" cm="1">
        <f t="array" ref="A10">INDEX(CLIENT_MASTER!A:A,ROW(A10))</f>
        <v>CL-0009</v>
      </c>
      <c r="B10" s="4" t="str">
        <f>VLOOKUP(A10, CLIENT_MASTER!A:B, 2, FALSE)</f>
        <v>Lucy Pita</v>
      </c>
      <c r="C10" s="4">
        <f>COUNTIF(LOAN_APPLICATION!B:B, A10)</f>
        <v>1</v>
      </c>
      <c r="D10" s="4">
        <f>SUMIF(LOAN_APPLICATION!B:B,A10,LOAN_APPLICATION!J:J)</f>
        <v>500</v>
      </c>
      <c r="E10" s="4">
        <f>SUMIF(LOAN_APPLICATION!B:B, A10, LOAN_APPLICATION!N:N) - SUMIF(LOAN_APPLICATION!B:B, A10, LOAN_APPLICATION!J:J)</f>
        <v>-499</v>
      </c>
      <c r="F10" s="4">
        <f>COUNTIFS(REPAYMENT_SCHEDULE!B:B,A10,REPAYMENT_SCHEDULE!H:H,"Pending")</f>
        <v>0</v>
      </c>
      <c r="G10" s="41" t="str">
        <f>IF(Table9[[#This Row],[TOTAL LOAN DEFAULTS]]&gt;0,"Needs Review","Good Standing")</f>
        <v>Good Standing</v>
      </c>
      <c r="H10" s="5"/>
    </row>
    <row r="11" spans="1:8" ht="30" customHeight="1">
      <c r="A11" s="3" t="str" cm="1">
        <f t="array" ref="A11">INDEX(CLIENT_MASTER!A:A,ROW(A11))</f>
        <v>CL-0010</v>
      </c>
      <c r="B11" s="4" t="str">
        <f>VLOOKUP(A11, CLIENT_MASTER!A:B, 2, FALSE)</f>
        <v>Gibson Melu</v>
      </c>
      <c r="C11" s="4">
        <f>COUNTIF(LOAN_APPLICATION!B:B, A11)</f>
        <v>1</v>
      </c>
      <c r="D11" s="4">
        <f>SUMIF(LOAN_APPLICATION!B:B,A11,LOAN_APPLICATION!J:J)</f>
        <v>500</v>
      </c>
      <c r="E11" s="4">
        <f>SUMIF(LOAN_APPLICATION!B:B, A11, LOAN_APPLICATION!N:N) - SUMIF(LOAN_APPLICATION!B:B, A11, LOAN_APPLICATION!J:J)</f>
        <v>-499</v>
      </c>
      <c r="F11" s="4">
        <f>COUNTIFS(REPAYMENT_SCHEDULE!B:B,A11,REPAYMENT_SCHEDULE!H:H,"Pending")</f>
        <v>0</v>
      </c>
      <c r="G11" s="41" t="str">
        <f>IF(Table9[[#This Row],[TOTAL LOAN DEFAULTS]]&gt;0,"Needs Review","Good Standing")</f>
        <v>Good Standing</v>
      </c>
      <c r="H11" s="5"/>
    </row>
  </sheetData>
  <conditionalFormatting sqref="G1:G11">
    <cfRule type="colorScale" priority="2">
      <colorScale>
        <cfvo type="min"/>
        <cfvo type="max"/>
        <color rgb="FF00B050"/>
        <color rgb="FFFFEF9C"/>
      </colorScale>
    </cfRule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Company_Profile</vt:lpstr>
      <vt:lpstr>CLIENT_MASTER</vt:lpstr>
      <vt:lpstr>LOAN_APPLICATION</vt:lpstr>
      <vt:lpstr>REPAYMENT_SCHEDULE</vt:lpstr>
      <vt:lpstr>RISK_AND_COLLECTION</vt:lpstr>
      <vt:lpstr>LOAN_CALCULATOR</vt:lpstr>
      <vt:lpstr>SUMMARYCLIENT</vt:lpstr>
      <vt:lpstr>CLIENT_LOAN_HISTORY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Dominic Camilus</cp:lastModifiedBy>
  <cp:lastPrinted>2026-07-19T07:38:00Z</cp:lastPrinted>
  <dcterms:created xsi:type="dcterms:W3CDTF">2026-06-07T01:43:00Z</dcterms:created>
  <dcterms:modified xsi:type="dcterms:W3CDTF">2026-08-07T12:28:17Z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A8BF84C8C74540AB9B58FB7F76218D1A_12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